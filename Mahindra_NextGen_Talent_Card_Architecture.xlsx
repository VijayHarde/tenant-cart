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mahindraonline-my.sharepoint.com/personal/50020229_mahindra_com/Documents/Project 1/"/>
    </mc:Choice>
  </mc:AlternateContent>
  <xr:revisionPtr revIDLastSave="6" documentId="11_E33F0EA062A89C52315E8DC642E7E00BB72A03F0" xr6:coauthVersionLast="47" xr6:coauthVersionMax="47" xr10:uidLastSave="{038590D9-D238-4883-A460-C0A30348A35C}"/>
  <bookViews>
    <workbookView xWindow="-120" yWindow="-120" windowWidth="20730" windowHeight="11040" xr2:uid="{00000000-000D-0000-FFFF-FFFF00000000}"/>
  </bookViews>
  <sheets>
    <sheet name="01_Logic" sheetId="1" r:id="rId1"/>
    <sheet name="02_B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0" i="2" l="1"/>
  <c r="K180" i="2"/>
  <c r="J180" i="2"/>
  <c r="I180" i="2"/>
  <c r="H180" i="2"/>
  <c r="L179" i="2"/>
  <c r="K179" i="2"/>
  <c r="J179" i="2"/>
  <c r="I179" i="2"/>
  <c r="H179" i="2"/>
</calcChain>
</file>

<file path=xl/sharedStrings.xml><?xml version="1.0" encoding="utf-8"?>
<sst xmlns="http://schemas.openxmlformats.org/spreadsheetml/2006/main" count="1592" uniqueCount="630">
  <si>
    <t>MAHINDRA NEXT GEN TALENT CARD ARCHITECTURE</t>
  </si>
  <si>
    <t>SOURCE</t>
  </si>
  <si>
    <t>Green = already present in the current GMC-MLP Database (30 Sept). Orange = obtain from an integrated system/API. Red = information must be provided or validated by people through the defined workflow.</t>
  </si>
  <si>
    <t>INFORMATION ICON (i)</t>
  </si>
  <si>
    <t>Show beside every field, for employee experience</t>
  </si>
  <si>
    <t>INPUT FLOW SAME FOR ALL</t>
  </si>
  <si>
    <t>System/API → Employee view/correction request → BHR → Group HR</t>
  </si>
  <si>
    <t>BHR RULE</t>
  </si>
  <si>
    <t>Every new/changed value is BHR-verified. Preserve previous verified values and role/stint history.</t>
  </si>
  <si>
    <t>PERSONA</t>
  </si>
  <si>
    <t>Yes = required for that persona when applicable/triggered; Optional = visible but not required; No = completely hidden. Only Yes counts in completeness.</t>
  </si>
  <si>
    <t>REQUEST / HELP ICON (h)</t>
  </si>
  <si>
    <t>Persistent Request / Help Icon with live counter. User selects field/section + issue type; every request routes to BHR. BHR can send query to IT if needed.</t>
  </si>
  <si>
    <t>SAVE / SUBMIT</t>
  </si>
  <si>
    <t>Save &amp; Continue saves Draft only. Final Submit sends entered/changed data for BHR review.</t>
  </si>
  <si>
    <t>COMPLETENESS</t>
  </si>
  <si>
    <t>Live % counts visible Yes fields only. Optional and No fields that are not triggered are excluded.</t>
  </si>
  <si>
    <t>CURRENT STAGE</t>
  </si>
  <si>
    <t>PRIMARY TALENT CARD EMPHASIS</t>
  </si>
  <si>
    <t>MLP 2027</t>
  </si>
  <si>
    <t>Pre-join / campus; Mahindra exposure mainly through SIP</t>
  </si>
  <si>
    <t>Personal + education + Class XII + campus evidence + SIP + prior work if any</t>
  </si>
  <si>
    <t>MLP 2026</t>
  </si>
  <si>
    <t>Rotational / stint journey inside Mahindra</t>
  </si>
  <si>
    <t>Stints, learning needs, interventions, project impact, early career preferences/readiness</t>
  </si>
  <si>
    <t>MLP 2024–25</t>
  </si>
  <si>
    <t>Completed rotations; now in full-time role</t>
  </si>
  <si>
    <t>Mahindra role history, impact, performance, learning journey, readiness</t>
  </si>
  <si>
    <t>GMC 2019–23</t>
  </si>
  <si>
    <t>Older programme cohorts; multiple years in system</t>
  </si>
  <si>
    <t>Multiple Mahindra roles, impact, performance, development, readiness</t>
  </si>
  <si>
    <t>MALT</t>
  </si>
  <si>
    <t>Experienced / senior talent; may have external experience and sector rotations</t>
  </si>
  <si>
    <t>Top prior companies/projects, Mahindra journey, performance, recognition, readiness</t>
  </si>
  <si>
    <t>BUCKET</t>
  </si>
  <si>
    <t>WHAT IT ANSWERS</t>
  </si>
  <si>
    <t>COLOUR CODING</t>
  </si>
  <si>
    <t>Personal Details</t>
  </si>
  <si>
    <t>Who is the person?</t>
  </si>
  <si>
    <t>GREEN - Already available in HR Database</t>
  </si>
  <si>
    <t>Programme &amp; Current Mahindra Details</t>
  </si>
  <si>
    <t>Which programme/batch and current Mahindra context apply?</t>
  </si>
  <si>
    <t>ORANGE - Source from system / API</t>
  </si>
  <si>
    <t>Education Details</t>
  </si>
  <si>
    <t>What formal/campus background matters?</t>
  </si>
  <si>
    <t>RED - Input required from employee / manager / HR</t>
  </si>
  <si>
    <t>Professional Certifications</t>
  </si>
  <si>
    <t>What relevant additional qualifications exist?</t>
  </si>
  <si>
    <t>Prior Work Experience</t>
  </si>
  <si>
    <t>What material external experience exists before Mahindra?</t>
  </si>
  <si>
    <t>Mahindra Summer Internship Project</t>
  </si>
  <si>
    <t>What Mahindra exposure and outcomes came from SIP?</t>
  </si>
  <si>
    <t>Mahindra Full Time Work Experience</t>
  </si>
  <si>
    <t>How has the employee grown across Mahindra roles/stints?</t>
  </si>
  <si>
    <t>Learning Needs</t>
  </si>
  <si>
    <t>What capability should be developed?</t>
  </si>
  <si>
    <t>Learning Intervention &amp; Action Tracking</t>
  </si>
  <si>
    <t>What was recommended, what action happened, and what changed?</t>
  </si>
  <si>
    <t>Performance</t>
  </si>
  <si>
    <t>What formal performance evidence exists?</t>
  </si>
  <si>
    <t>Strengths &amp; Areas of Opportunity</t>
  </si>
  <si>
    <t>What is the manager's current evidence-based view?</t>
  </si>
  <si>
    <t>Recognition</t>
  </si>
  <si>
    <t>What individual or team/project recognition exists?</t>
  </si>
  <si>
    <t>Career Aspiration &amp; Preferences</t>
  </si>
  <si>
    <t>Where does the employee want to grow?</t>
  </si>
  <si>
    <t>Career Readiness</t>
  </si>
  <si>
    <t>What could be the next role/stint and when?</t>
  </si>
  <si>
    <t>Profile Governance</t>
  </si>
  <si>
    <t>Is the card current and verified?</t>
  </si>
  <si>
    <t>Bucket</t>
  </si>
  <si>
    <t>Field</t>
  </si>
  <si>
    <t>Information (i) Icon</t>
  </si>
  <si>
    <t>Design Suggestion</t>
  </si>
  <si>
    <t>Example</t>
  </si>
  <si>
    <t>Input</t>
  </si>
  <si>
    <t>Visible To</t>
  </si>
  <si>
    <t>GMC 19–23</t>
  </si>
  <si>
    <t>STATUS</t>
  </si>
  <si>
    <t>Status</t>
  </si>
  <si>
    <t>Current status of the employee</t>
  </si>
  <si>
    <t>Dropdown; Active or Exited or Resigned or Retired or Others</t>
  </si>
  <si>
    <t>Active</t>
  </si>
  <si>
    <t>BHR → Group HR</t>
  </si>
  <si>
    <t>Employee + Manager + BHR + Group HR</t>
  </si>
  <si>
    <t>Yes</t>
  </si>
  <si>
    <t>If Not Active</t>
  </si>
  <si>
    <t>Separation Date</t>
  </si>
  <si>
    <t>Essential for year-wise attrition and batch attrition.</t>
  </si>
  <si>
    <t>-</t>
  </si>
  <si>
    <t>Resigned</t>
  </si>
  <si>
    <t>Manager + BHR + Group HR</t>
  </si>
  <si>
    <t>Separation Reason</t>
  </si>
  <si>
    <t>Needed for Career Opportunity / Compensation / Higher Education / Location / Personal / Role Fit etc. analysis.</t>
  </si>
  <si>
    <t>PROFILE</t>
  </si>
  <si>
    <t>Photograph</t>
  </si>
  <si>
    <t>Current professional photograph.</t>
  </si>
  <si>
    <t>Image upload; Format Standard; crop/preview.</t>
  </si>
  <si>
    <t>Professional headshot</t>
  </si>
  <si>
    <t>System/API → Employee → BHR → Group HR</t>
  </si>
  <si>
    <t>Full Name</t>
  </si>
  <si>
    <t>Current official employee name.</t>
  </si>
  <si>
    <t>Aditi Deshmukh</t>
  </si>
  <si>
    <t>Employee ID</t>
  </si>
  <si>
    <t>Unique Mahindra employee identifier.</t>
  </si>
  <si>
    <t>12345678</t>
  </si>
  <si>
    <t>Date of Birth</t>
  </si>
  <si>
    <t>Official date of birth.</t>
  </si>
  <si>
    <t>Date picker if manual; future dates blocked</t>
  </si>
  <si>
    <t>15 Jul 2001</t>
  </si>
  <si>
    <t>Official Email ID</t>
  </si>
  <si>
    <t>Current official Mahindra email address.</t>
  </si>
  <si>
    <t>Email format validation</t>
  </si>
  <si>
    <t>aditi.deshmukh@mahindra.com</t>
  </si>
  <si>
    <t>PROGRAMME &amp; CURRENT MAHINDRA DETAILS</t>
  </si>
  <si>
    <t>Programme Details</t>
  </si>
  <si>
    <t>Programme Name</t>
  </si>
  <si>
    <t>Current talent programme.</t>
  </si>
  <si>
    <t>Dropdown: MLP / GMC / MALT.</t>
  </si>
  <si>
    <t>MLP</t>
  </si>
  <si>
    <t>Batch Year</t>
  </si>
  <si>
    <t>Official programme batch/cohort year.</t>
  </si>
  <si>
    <t>Year dropdown.</t>
  </si>
  <si>
    <t>2027</t>
  </si>
  <si>
    <t>Assigned Mentor Name</t>
  </si>
  <si>
    <t>Programme mentor assigned.</t>
  </si>
  <si>
    <t>Searchable person list + manual entry. Historical value retained if mentor changes.</t>
  </si>
  <si>
    <t>Rajesh Kumar</t>
  </si>
  <si>
    <t>Optional</t>
  </si>
  <si>
    <t>No</t>
  </si>
  <si>
    <t>Assigned Mentor Email</t>
  </si>
  <si>
    <t>Official email ID of the assigned mentor.</t>
  </si>
  <si>
    <t>Email field; show only when Assigned Mentor Name exists.</t>
  </si>
  <si>
    <t>rajesh.kumar@mahindra.com</t>
  </si>
  <si>
    <t>Current Mahindra Details</t>
  </si>
  <si>
    <t>Sector</t>
  </si>
  <si>
    <t>Current Mahindra sector.</t>
  </si>
  <si>
    <t>Dropdown from approved sector list + Other.</t>
  </si>
  <si>
    <t>Farm</t>
  </si>
  <si>
    <t>Business</t>
  </si>
  <si>
    <t>Current Mahindra business.</t>
  </si>
  <si>
    <t>Dependent dropdown linked to Sector + Other.</t>
  </si>
  <si>
    <t>Mahindra &amp; Mahindra Ltd.</t>
  </si>
  <si>
    <t>Designation</t>
  </si>
  <si>
    <t>Current official designation title.</t>
  </si>
  <si>
    <t>Short text maximum limit 50 characters; use formal role title only.</t>
  </si>
  <si>
    <t>Area Sales Manager</t>
  </si>
  <si>
    <t>Grade</t>
  </si>
  <si>
    <t>Current official grade / level.</t>
  </si>
  <si>
    <t>Dropdown from approved grade/level list.</t>
  </si>
  <si>
    <t>Managerial Band</t>
  </si>
  <si>
    <t>Function</t>
  </si>
  <si>
    <t>Current primary function.</t>
  </si>
  <si>
    <t>Dropdown from approved function list + Other.</t>
  </si>
  <si>
    <t>Sales &amp; Marketing</t>
  </si>
  <si>
    <t>Work Location</t>
  </si>
  <si>
    <t>Current official work/base location.</t>
  </si>
  <si>
    <t>Searchable location list + Other.</t>
  </si>
  <si>
    <t>Pune</t>
  </si>
  <si>
    <t>Date of Joining Mahindra</t>
  </si>
  <si>
    <t>Original date of joining Mahindra.</t>
  </si>
  <si>
    <t>Date field; used for tenure calculation.</t>
  </si>
  <si>
    <t>01 Apr 2024</t>
  </si>
  <si>
    <t>Total Mahindra Tenure</t>
  </si>
  <si>
    <t>Completed tenure in Mahindra.</t>
  </si>
  <si>
    <t>Portal-calculated Derived from verified Date of Joining till this month.; display Years + Months.</t>
  </si>
  <si>
    <t>2 years 5 months</t>
  </si>
  <si>
    <t>Automatic Portal Calculation from verified DOJ</t>
  </si>
  <si>
    <t>Current Role Tenure</t>
  </si>
  <si>
    <t>Time spent in current Mahindra role/stint.</t>
  </si>
  <si>
    <t>Portal-calculated Derived from verified current stint period.; display Years + Months.</t>
  </si>
  <si>
    <t>8 months</t>
  </si>
  <si>
    <t>Reporting Manager Name</t>
  </si>
  <si>
    <t>Current reporting manager.</t>
  </si>
  <si>
    <t>Searchable person list + manual fallback.</t>
  </si>
  <si>
    <t>Kunal Shah</t>
  </si>
  <si>
    <t>Reporting Manager Email</t>
  </si>
  <si>
    <t>Official email ID of current reporting manager.</t>
  </si>
  <si>
    <t>Email field linked to Reporting Manager Name or manual fallback.</t>
  </si>
  <si>
    <t>kunal.shah@mahindra.com</t>
  </si>
  <si>
    <t>Sector HR Name</t>
  </si>
  <si>
    <t>Current sector-level HR name.</t>
  </si>
  <si>
    <t>Person name field</t>
  </si>
  <si>
    <t>Priya Mehta</t>
  </si>
  <si>
    <t>System/API →  BHR → Group HR</t>
  </si>
  <si>
    <t>Sector HR Mail</t>
  </si>
  <si>
    <t>Current sector-level HR mail.</t>
  </si>
  <si>
    <t>Person mail field</t>
  </si>
  <si>
    <t>Current BHR Name</t>
  </si>
  <si>
    <t>Current Business HR name</t>
  </si>
  <si>
    <t>Megha Patil</t>
  </si>
  <si>
    <t>Current BHR Mail</t>
  </si>
  <si>
    <t>Current Business HR mail</t>
  </si>
  <si>
    <t>EDUCATION DETAILS</t>
  </si>
  <si>
    <t>Postgraduation (PG)</t>
  </si>
  <si>
    <t>Has Postgraduate Qualification?</t>
  </si>
  <si>
    <t>Whether the employee has a postgraduate qualification.</t>
  </si>
  <si>
    <t>Yes / No gate. If No, hide all remaining PG fields and exclude them from completeness.</t>
  </si>
  <si>
    <t>Degree Name</t>
  </si>
  <si>
    <t>Postgraduate qualification name.</t>
  </si>
  <si>
    <t>Repeatable record; degree dropdown + Other; maximum 2.</t>
  </si>
  <si>
    <t>MBA</t>
  </si>
  <si>
    <t>Campus</t>
  </si>
  <si>
    <t>Institution / campus for postgraduate qualification.</t>
  </si>
  <si>
    <t>Searchable institution list + Other.</t>
  </si>
  <si>
    <t>IIM Bangalore</t>
  </si>
  <si>
    <t>Specialisation</t>
  </si>
  <si>
    <t>Major specialisation(s) in PG.</t>
  </si>
  <si>
    <t>Multi-select from controlled list + Other; maximum 2.</t>
  </si>
  <si>
    <t>Strategy; Finance</t>
  </si>
  <si>
    <t>Period</t>
  </si>
  <si>
    <t>PG study period.</t>
  </si>
  <si>
    <t>Start Year + End/Expected Year; validate End ≥ Start.</t>
  </si>
  <si>
    <t>2024–2026</t>
  </si>
  <si>
    <t>Academic Score</t>
  </si>
  <si>
    <t>PG academic score where early-career comparison is useful.</t>
  </si>
  <si>
    <t>Store Score Type + Value + Scale. Example: CGPA 8.3/10, Percentage 76/100, or Grade with named scale.</t>
  </si>
  <si>
    <t>8.3/10 CGPA</t>
  </si>
  <si>
    <t>PG Highlight</t>
  </si>
  <si>
    <t>Highlight Category</t>
  </si>
  <si>
    <t>Category of a material postgraduate highlight.</t>
  </si>
  <si>
    <t>Repeatable record; maximum 2. Dropdown: Leadership / Competition / Research / Entrepreneurship / Internship / Social Impact / Other.</t>
  </si>
  <si>
    <t>Research</t>
  </si>
  <si>
    <t>Employee → BHR → Group HR</t>
  </si>
  <si>
    <t>Highlight Title</t>
  </si>
  <si>
    <t>Short factual name of the activity/achievement.</t>
  </si>
  <si>
    <t>Short text; maximum 120 characters. Avoid adjectives such as excellent, outstanding, best unless part of an official award title.</t>
  </si>
  <si>
    <t>Student research paper on rural distribution</t>
  </si>
  <si>
    <t>Level</t>
  </si>
  <si>
    <t>Level at which the highlight occurred.</t>
  </si>
  <si>
    <t>Dropdown: Institute / City / State / National / International / Professional.</t>
  </si>
  <si>
    <t>National</t>
  </si>
  <si>
    <t>Outcome</t>
  </si>
  <si>
    <t>Objective outcome that proves the highlight.</t>
  </si>
  <si>
    <t>State a verifiable result: rank, selection, publication, funding, quantified result, certificate or formal recognition. No generic learning statement.</t>
  </si>
  <si>
    <t>Paper selected for national student conference</t>
  </si>
  <si>
    <t>Undergraduation (UG)</t>
  </si>
  <si>
    <t>Undergraduate qualification name.</t>
  </si>
  <si>
    <t>B.Tech</t>
  </si>
  <si>
    <t>Institution / campus for undergraduate qualification.</t>
  </si>
  <si>
    <t>VJTI Mumbai</t>
  </si>
  <si>
    <t>Major/specialisation within UG.</t>
  </si>
  <si>
    <t>Production Engineering</t>
  </si>
  <si>
    <t>UG study period.</t>
  </si>
  <si>
    <t>Start Year + End Year; validate End ≥ Start.</t>
  </si>
  <si>
    <t>2019–2023</t>
  </si>
  <si>
    <t>UG academic score where early-career comparison is useful.</t>
  </si>
  <si>
    <t>Store Score Type + Value + Scale. Example: CGPA 7.86/10 or Percentage 76/100.</t>
  </si>
  <si>
    <t>7.86/10 CGPA</t>
  </si>
  <si>
    <t>UG Highlight</t>
  </si>
  <si>
    <t>Category of a material undergraduate highlight.</t>
  </si>
  <si>
    <t>Competition</t>
  </si>
  <si>
    <t>Short text; maximum 120 characters.</t>
  </si>
  <si>
    <t>SAE BAJA EV competition</t>
  </si>
  <si>
    <t>State verifiable result: rank, selection, publication, prize, quantified result, certificate or formal recognition.</t>
  </si>
  <si>
    <t>1st in category; ₹20,000 cash prize</t>
  </si>
  <si>
    <t>Class XII</t>
  </si>
  <si>
    <t>Board</t>
  </si>
  <si>
    <t>Class XII board.</t>
  </si>
  <si>
    <t>Text/search field.</t>
  </si>
  <si>
    <t>CBSE</t>
  </si>
  <si>
    <t>School</t>
  </si>
  <si>
    <t>Class XII school name.</t>
  </si>
  <si>
    <t>Text/search field. Keep only for personas where campus academic detail remains useful.</t>
  </si>
  <si>
    <t>ABC School</t>
  </si>
  <si>
    <t>Year</t>
  </si>
  <si>
    <t>Class XII completion year.</t>
  </si>
  <si>
    <t>4-digit year dropdown.</t>
  </si>
  <si>
    <t>2019</t>
  </si>
  <si>
    <t>Class XII academic score.</t>
  </si>
  <si>
    <t>Store Score Type + Value + Scale. Example: Percentage 86.4/100 or Grade A on stated scale. Never store a bare number without its scale.</t>
  </si>
  <si>
    <t>86.4/100</t>
  </si>
  <si>
    <t>PROFESSIONAL CERTIFICATIONS</t>
  </si>
  <si>
    <t>Has Professional Certification?</t>
  </si>
  <si>
    <t>Whether the employee has a relevant professional certification/qualification.</t>
  </si>
  <si>
    <t>Yes / No gate. If No, hide detail fields.</t>
  </si>
  <si>
    <t>Certification  Name</t>
  </si>
  <si>
    <t>Name of each relevant certification.</t>
  </si>
  <si>
    <t>Repeatable; short text/search list; newest first.</t>
  </si>
  <si>
    <t>Six Sigma Yellow Belt</t>
  </si>
  <si>
    <t>Issuing Organisation</t>
  </si>
  <si>
    <t>Organisation that issued the certification.</t>
  </si>
  <si>
    <t>Searchable organisation list + Other.</t>
  </si>
  <si>
    <t>ASQ</t>
  </si>
  <si>
    <t>Completion Year</t>
  </si>
  <si>
    <t>Year completed.</t>
  </si>
  <si>
    <t>2026</t>
  </si>
  <si>
    <t>Valid Until</t>
  </si>
  <si>
    <t>Expiry/validity date where applicable.</t>
  </si>
  <si>
    <t>Date; leave blank for non-expiring certification.</t>
  </si>
  <si>
    <t>31 Dec 2028</t>
  </si>
  <si>
    <t>PRIOR WORK EXPERIENCE</t>
  </si>
  <si>
    <t>Has Prior Work Experience?</t>
  </si>
  <si>
    <t>Whether there is full-time work experience before Mahindra.</t>
  </si>
  <si>
    <t>Yes / No gate. If No, hide remaining Prior Work fields.</t>
  </si>
  <si>
    <t>Total Prior Full-time Experience</t>
  </si>
  <si>
    <t>Total full-time experience before Mahindra.</t>
  </si>
  <si>
    <t>Numeric Years + Months; months 0–11.</t>
  </si>
  <si>
    <t>2 years 4 months</t>
  </si>
  <si>
    <t>Employer Name</t>
  </si>
  <si>
    <t>Name of prior employer.</t>
  </si>
  <si>
    <t>Repeatable employer record; maximum 3 most relevant/recent employers; newest first.</t>
  </si>
  <si>
    <t>ABC Ltd.</t>
  </si>
  <si>
    <t>Role Title</t>
  </si>
  <si>
    <t>Formal role title held with the employer.</t>
  </si>
  <si>
    <t>Short text within each employer record.</t>
  </si>
  <si>
    <t>Business Analyst</t>
  </si>
  <si>
    <t>Location</t>
  </si>
  <si>
    <t>Primary work location for the role.</t>
  </si>
  <si>
    <t>Mumbai</t>
  </si>
  <si>
    <t>Employment Period</t>
  </si>
  <si>
    <t>Start and end period of the role.</t>
  </si>
  <si>
    <t>Start Month/Year + End Month/Year; validate End ≥ Start.</t>
  </si>
  <si>
    <t>Jul 2022–Mar 2024</t>
  </si>
  <si>
    <t>Domain / Business Knowledge Areas</t>
  </si>
  <si>
    <t>Key domain/business knowledge gained in the role.</t>
  </si>
  <si>
    <t>Controlled multi-select tags + Other; maximum 3.</t>
  </si>
  <si>
    <t>Retail Banking; Analytics</t>
  </si>
  <si>
    <t>Responsibility Area(s)</t>
  </si>
  <si>
    <t>The main responsibility areas owned in the role.</t>
  </si>
  <si>
    <t>Select maximum 3 controlled areas from the function-specific responsibility library + Other. Do not write a job-description paragraph.</t>
  </si>
  <si>
    <t>Business reporting; stakeholder management</t>
  </si>
  <si>
    <t>Prior Work Project</t>
  </si>
  <si>
    <t>Project Title</t>
  </si>
  <si>
    <t>Name of a material project/initiative from the employer.</t>
  </si>
  <si>
    <t>Repeatable; maximum 2 per employer. Add STAR fields only when a project is added.</t>
  </si>
  <si>
    <t>Monthly sales reporting automation</t>
  </si>
  <si>
    <t>STAR – Situation</t>
  </si>
  <si>
    <t>The factual context/problem before the project started.</t>
  </si>
  <si>
    <t>1–2 sentences; state baseline/problem only. No action or result here.</t>
  </si>
  <si>
    <t>Monthly reporting took 5 working days and used 12 manual files.</t>
  </si>
  <si>
    <t>STAR – Task</t>
  </si>
  <si>
    <t>The employee's specific objective/accountability.</t>
  </si>
  <si>
    <t>One concise statement beginning with the objective/ownership.</t>
  </si>
  <si>
    <t>Reduce reporting turnaround without reducing data accuracy.</t>
  </si>
  <si>
    <t>STAR – Action</t>
  </si>
  <si>
    <t>The employee's own material actions.</t>
  </si>
  <si>
    <t>Maximum 3 actions; use action verbs; separate personal contribution from team activity.</t>
  </si>
  <si>
    <t>Standardised inputs, automated consolidation and built exception checks.</t>
  </si>
  <si>
    <t>STAR – Result</t>
  </si>
  <si>
    <t>The verified result attributable to the project.</t>
  </si>
  <si>
    <t>State outcome before learning. Quantify where possible and link to metric fields below.</t>
  </si>
  <si>
    <t>Reporting turnaround reduced from 5 days to 2 days.</t>
  </si>
  <si>
    <t>MAHINDRA SUMMER INTERNSHIP PROJECT</t>
  </si>
  <si>
    <t>SIP Sector</t>
  </si>
  <si>
    <t>Sector of the Summer Internship Project.</t>
  </si>
  <si>
    <t>Automotive</t>
  </si>
  <si>
    <t>SIP Business</t>
  </si>
  <si>
    <t>Business/entity where SIP was completed.</t>
  </si>
  <si>
    <t>Dependent dropdown linked to SIP Sector + Other.</t>
  </si>
  <si>
    <t>Auto Division</t>
  </si>
  <si>
    <t>SIP Function</t>
  </si>
  <si>
    <t>Function of the SIP.</t>
  </si>
  <si>
    <t>Strategy</t>
  </si>
  <si>
    <t>SIP Location</t>
  </si>
  <si>
    <t>Primary SIP location.</t>
  </si>
  <si>
    <t>Searchable location + Other.</t>
  </si>
  <si>
    <t>Jaipur</t>
  </si>
  <si>
    <t>SIP Period</t>
  </si>
  <si>
    <t>SIP start and end period.</t>
  </si>
  <si>
    <t>Apr 2026–May 2026</t>
  </si>
  <si>
    <t>SIP Manager</t>
  </si>
  <si>
    <t>Day-to-day project/line manager.</t>
  </si>
  <si>
    <t>Searchable person field + manual fallback.</t>
  </si>
  <si>
    <t>Rohan Mehta</t>
  </si>
  <si>
    <t>SIP Mentor</t>
  </si>
  <si>
    <t>Mentor/Future Shaper assigned during SIP, where applicable.</t>
  </si>
  <si>
    <t>Searchable person field; allow Same as SIP Manager where valid.</t>
  </si>
  <si>
    <t>Neha Sharma</t>
  </si>
  <si>
    <t>SIP Project Evidence</t>
  </si>
  <si>
    <t>Approved SIP project title/problem statement.</t>
  </si>
  <si>
    <t>One project record; short text; use approved title where available.</t>
  </si>
  <si>
    <t>Dealer productivity diagnostic</t>
  </si>
  <si>
    <t>STARL – Situation</t>
  </si>
  <si>
    <t>The factual business context/problem addressed by SIP.</t>
  </si>
  <si>
    <t>1–2 sentences; baseline/problem only.</t>
  </si>
  <si>
    <t>Dealer funnel conversion was inconsistent across locations.</t>
  </si>
  <si>
    <t>STARL – Task</t>
  </si>
  <si>
    <t>The specific SIP objective/accountability.</t>
  </si>
  <si>
    <t>One concise objective statement.</t>
  </si>
  <si>
    <t>Identify funnel leakages and propose a scalable review mechanism.</t>
  </si>
  <si>
    <t>STARL – Action</t>
  </si>
  <si>
    <t>The employee's own material actions during SIP.</t>
  </si>
  <si>
    <t>Maximum 3 actions; use action verbs and distinguish personal contribution.</t>
  </si>
  <si>
    <t>Analysed funnel data, interviewed dealers and designed review cadence.</t>
  </si>
  <si>
    <t>STARL – Result</t>
  </si>
  <si>
    <t>Verified result/outcome of SIP.</t>
  </si>
  <si>
    <t>State result first; quantify where possible; do not mix generic learning into this row.</t>
  </si>
  <si>
    <t>Identified 3 leakage points and proposed pilot actions for review.</t>
  </si>
  <si>
    <t>STARL –  Learning</t>
  </si>
  <si>
    <t>One material learning derived from the SIP.</t>
  </si>
  <si>
    <t>Maximum 1 concise learning statement; must link to the project evidence, not generic self-praise.</t>
  </si>
  <si>
    <t>Learned how dealer funnel decisions vary by local operating context.</t>
  </si>
  <si>
    <t>MAHINDRA FULL TIME WORK EXPERIENCE</t>
  </si>
  <si>
    <t>Official title of each Mahindra role/stint.</t>
  </si>
  <si>
    <t>Repeatable stint record; current stint first; preserve historical records.</t>
  </si>
  <si>
    <t>Role Start Date</t>
  </si>
  <si>
    <t>Official start date of each Mahindra role/stint.</t>
  </si>
  <si>
    <t>Previous role/stint start date; give calendar dropdown; preserve historical records.</t>
  </si>
  <si>
    <t>Role Movement Type</t>
  </si>
  <si>
    <t>Reason for role/stint Movement Type.</t>
  </si>
  <si>
    <t>1st Role/Stint / Promotion / Lateral Role Change / Rotation / Transfer.</t>
  </si>
  <si>
    <t>1st Role/Stint</t>
  </si>
  <si>
    <t>Role End Date</t>
  </si>
  <si>
    <t>Official end date of each Mahindra role/stint.</t>
  </si>
  <si>
    <t>Previous role/stint end date; give calendar dropdown; preserve historical records.</t>
  </si>
  <si>
    <t>Sector for each stint.</t>
  </si>
  <si>
    <t>Dropdown from sector list.</t>
  </si>
  <si>
    <t>Business/entity for each stint.</t>
  </si>
  <si>
    <t>Dependent dropdown linked to Sector.</t>
  </si>
  <si>
    <t>Grade/level held during each stint.</t>
  </si>
  <si>
    <t>Function held during each stint.</t>
  </si>
  <si>
    <t>Start and end period of each stint.</t>
  </si>
  <si>
    <t>Start Month/Year + End Month/Year or Present; only one current stint.</t>
  </si>
  <si>
    <t>Jan 2026–Present</t>
  </si>
  <si>
    <t>Work location during the stint.</t>
  </si>
  <si>
    <t>Ahmedabad</t>
  </si>
  <si>
    <t>Reporting Manager</t>
  </si>
  <si>
    <t>Reporting manager associated with the stint, where known.</t>
  </si>
  <si>
    <t>Searchable person field; manual name allowed for historical stints.</t>
  </si>
  <si>
    <t>Key domain/business knowledge gained in the stint.</t>
  </si>
  <si>
    <t>Dealer Operations; Sales Distribution</t>
  </si>
  <si>
    <t>Main responsibility areas owned during the stint.</t>
  </si>
  <si>
    <t>Select maximum 3 controlled areas from function-specific responsibility library + Other. No job-description paragraph.</t>
  </si>
  <si>
    <t>Dealer performance; retail target delivery</t>
  </si>
  <si>
    <t>Mahindra Stint Project</t>
  </si>
  <si>
    <t>A material project/initiative completed in the stint.</t>
  </si>
  <si>
    <t>Repeatable; maximum 2 per stint. STAR fields appear only when a project is added.</t>
  </si>
  <si>
    <t>Dealer funnel improvement pilot</t>
  </si>
  <si>
    <t>The factual business context/problem before action.</t>
  </si>
  <si>
    <t>Lead-to-retail conversion was below target in priority dealerships.</t>
  </si>
  <si>
    <t>Improve conversion while keeping acquisition quality stable.</t>
  </si>
  <si>
    <t>Maximum 3 actions; use action verbs and separate own contribution.</t>
  </si>
  <si>
    <t>Segmented funnel, changed review cadence and coached dealer teams.</t>
  </si>
  <si>
    <t>Verified result attributable to the project.</t>
  </si>
  <si>
    <t>State result first; quantify where possible; link to metric fields.</t>
  </si>
  <si>
    <t>Lead-to-retail conversion improved by 8%.</t>
  </si>
  <si>
    <t>LEARNING NEEDS</t>
  </si>
  <si>
    <t>Functional Learning Need</t>
  </si>
  <si>
    <t>Capability Area</t>
  </si>
  <si>
    <t>Functional capability requiring development.</t>
  </si>
  <si>
    <t>Select from approved functional capability library + Other; maximum 2.</t>
  </si>
  <si>
    <t>Commercial acumen</t>
  </si>
  <si>
    <t>Manager → BHR → Group HR</t>
  </si>
  <si>
    <t>Gap Evidence</t>
  </si>
  <si>
    <t>Specific observed evidence showing the functional gap.</t>
  </si>
  <si>
    <t>One factual example: context + observed gap + consequence. Avoid labels such as weak/poor without evidence.</t>
  </si>
  <si>
    <t>Needs support to interpret dealer P&amp;L trade-offs independently.</t>
  </si>
  <si>
    <t>Desired Outcome</t>
  </si>
  <si>
    <t>What good performance should look like after development.</t>
  </si>
  <si>
    <t>One observable/measurable outcome; avoid naming a course.</t>
  </si>
  <si>
    <t>Independently assess dealer P&amp;L and recommend commercially viable actions.</t>
  </si>
  <si>
    <t>Behavioural Learning Need (CAB)</t>
  </si>
  <si>
    <t>Behavioural capability requiring development.</t>
  </si>
  <si>
    <t>Select from approved CAB/behavioural capability library + Other; maximum 2.</t>
  </si>
  <si>
    <t>Collaboration</t>
  </si>
  <si>
    <t>Specific observed evidence showing the behavioural gap.</t>
  </si>
  <si>
    <t>One factual example: situation + observed behaviour + consequence.</t>
  </si>
  <si>
    <t>Retains too many decisions personally when team size increases.</t>
  </si>
  <si>
    <t>What good behavioural performance should look like.</t>
  </si>
  <si>
    <t>One observable outcome linked to work context.</t>
  </si>
  <si>
    <t>Delegates decision ownership with clear checkpoints and accountability.</t>
  </si>
  <si>
    <t>LEARNING INTERVENTION &amp; ACTION TRACKING</t>
  </si>
  <si>
    <t>Learning Intervention</t>
  </si>
  <si>
    <t>Intervention Type</t>
  </si>
  <si>
    <t>Type of recommended development intervention.</t>
  </si>
  <si>
    <t>Repeatable, Dropdown: Programme / Certification / Coaching / Exposure / Project / Other.</t>
  </si>
  <si>
    <t>Coaching</t>
  </si>
  <si>
    <t>SMART – S: Specific Action</t>
  </si>
  <si>
    <t>The exact development action to be undertaken.</t>
  </si>
  <si>
    <t>Write one clear action using verb + activity + context. Do not write a vague goal such as improve leadership.</t>
  </si>
  <si>
    <t>Lead 3 monthly dealer P&amp;L reviews with manager coaching.</t>
  </si>
  <si>
    <t>SMART – M: Measurable Success Indicator</t>
  </si>
  <si>
    <t>How completion/success will be measured.</t>
  </si>
  <si>
    <t>Specify metric, count, threshold or observable output. Always include unit/denominator where numeric.</t>
  </si>
  <si>
    <t>Complete 3 reviews and independently recommend actions accepted in at least 2 reviews.</t>
  </si>
  <si>
    <t>SMART – A: Achievability / Support Required</t>
  </si>
  <si>
    <t>Support/resources needed to make the action realistically achievable.</t>
  </si>
  <si>
    <t>Select/support note: Manager Coaching / Mentor / Course / Access / Project Sponsorship / Other.</t>
  </si>
  <si>
    <t>Monthly coaching from reporting manager + access to dealer P&amp;L data.</t>
  </si>
  <si>
    <t>SMART – R: Relevance to Need / Next Role</t>
  </si>
  <si>
    <t>Why the action is relevant.</t>
  </si>
  <si>
    <t>Link to the exact learning need or possible next role; no generic development statement.</t>
  </si>
  <si>
    <t>Builds commercial acumen required for regional sales responsibility.</t>
  </si>
  <si>
    <t>SMART – T: Target Date</t>
  </si>
  <si>
    <t>Time-bound date for completion.</t>
  </si>
  <si>
    <t>Date picker; one target date per action.</t>
  </si>
  <si>
    <t>31 Dec 2027</t>
  </si>
  <si>
    <t>Intervention Status</t>
  </si>
  <si>
    <t>Current status of the development action.</t>
  </si>
  <si>
    <t>Dropdown: Not Started / In Progress / Completed / Postponed / Not Taken.</t>
  </si>
  <si>
    <t>In Progress</t>
  </si>
  <si>
    <t>Learning System/API → Employee/Manager status update → BHR → Group HR</t>
  </si>
  <si>
    <t>Completion Date</t>
  </si>
  <si>
    <t>Actual completion date.</t>
  </si>
  <si>
    <t>Date; show only when Status = Completed.</t>
  </si>
  <si>
    <t>18 Aug 2027</t>
  </si>
  <si>
    <t>Next Action</t>
  </si>
  <si>
    <t>What should happen after the intervention.</t>
  </si>
  <si>
    <t>Dropdown: Continue / Repeat / New Intervention / Apply in New Role / Close.</t>
  </si>
  <si>
    <t>Apply in New Role</t>
  </si>
  <si>
    <t>PERFORMANCE</t>
  </si>
  <si>
    <t>Review Cycle</t>
  </si>
  <si>
    <t>Formal performance review cycle/year.</t>
  </si>
  <si>
    <t>Repeatable; latest 3 released cycles; newest first.</t>
  </si>
  <si>
    <t>FY26</t>
  </si>
  <si>
    <t>Performance System/API → Manager → BHR → Group HR</t>
  </si>
  <si>
    <t>Employee after release + Manager + BHR + Group HR</t>
  </si>
  <si>
    <t>Performance Rating Overall</t>
  </si>
  <si>
    <t>Official overall performance rating.</t>
  </si>
  <si>
    <t>Store/display Rating Value + Official Scale/Range. Example: 4/5 only if the official scale is 1–5.</t>
  </si>
  <si>
    <t>4/5 -</t>
  </si>
  <si>
    <t>CAB Rating</t>
  </si>
  <si>
    <t>Official CAB outcome/score for the review cycle.</t>
  </si>
  <si>
    <t>Store/display CAB Value + Official Scale/Category. Do not convert one scale into another unless formally approved.</t>
  </si>
  <si>
    <t>STRENGTHS &amp; AREAS OF OPPORTUNITY</t>
  </si>
  <si>
    <t>Strengths</t>
  </si>
  <si>
    <t>Capability / Theme</t>
  </si>
  <si>
    <t>Manager-selected strength area.</t>
  </si>
  <si>
    <t>Select from approved capability/CAB library + Other; maximum 2.</t>
  </si>
  <si>
    <t>Structured problem solving</t>
  </si>
  <si>
    <t>Evidence</t>
  </si>
  <si>
    <t>Specific work evidence supporting the strength.</t>
  </si>
  <si>
    <t>Use concise evidence: Context → observed behaviour/action → result. No adjective-only statements.</t>
  </si>
  <si>
    <t>In dealer review, structured 3 root causes and enabled team to close 2 within the month.</t>
  </si>
  <si>
    <t>Area of Opportunity</t>
  </si>
  <si>
    <t>Manager-selected development area.</t>
  </si>
  <si>
    <t>Delegation</t>
  </si>
  <si>
    <t>Specific work evidence supporting the development need.</t>
  </si>
  <si>
    <t>Use concise evidence: Context → observed gap → consequence. Avoid unsupported labels.</t>
  </si>
  <si>
    <t>In larger team assignments, key decisions remain concentrated with the employee, slowing ownership.</t>
  </si>
  <si>
    <t>RECOGNITION</t>
  </si>
  <si>
    <t>Has Recognition?</t>
  </si>
  <si>
    <t>Whether there is relevant recognition from degree level onwards.</t>
  </si>
  <si>
    <t>Yes / No gate. If No, hide recognition detail fields.</t>
  </si>
  <si>
    <t>Employee</t>
  </si>
  <si>
    <t>Recognition Type</t>
  </si>
  <si>
    <t>Whether recognition is individual or team/project based.</t>
  </si>
  <si>
    <t>Dropdown: Individual / Team or Project.</t>
  </si>
  <si>
    <t>Team / Project</t>
  </si>
  <si>
    <t>Recognition Source</t>
  </si>
  <si>
    <t>Whether recognition is internal or external.</t>
  </si>
  <si>
    <t>Dropdown: Internal / External.</t>
  </si>
  <si>
    <t>External</t>
  </si>
  <si>
    <t>Award / Recognition Name</t>
  </si>
  <si>
    <t>Official name of award/recognition.</t>
  </si>
  <si>
    <t>Repeatable; newest first; exclude Class 10/12 and school-level achievements.</t>
  </si>
  <si>
    <t>Featured CIO Award</t>
  </si>
  <si>
    <t>Awarding Organisation</t>
  </si>
  <si>
    <t>Organisation granting recognition.</t>
  </si>
  <si>
    <t>Industry Forum</t>
  </si>
  <si>
    <t>Recognition Year</t>
  </si>
  <si>
    <t>Year of recognition.</t>
  </si>
  <si>
    <t>Contribution Role</t>
  </si>
  <si>
    <t>Employee's role in the recognised work.</t>
  </si>
  <si>
    <t>Dropdown: Individual / Lead / Co-lead / Core Contributor / Team Member.</t>
  </si>
  <si>
    <t>Lead</t>
  </si>
  <si>
    <t>Why the recognition was received and, for team awards, what the employee specifically contributed.</t>
  </si>
  <si>
    <t>One concise evidence line: contribution + result + official recognition basis. Avoid self-rating.</t>
  </si>
  <si>
    <t>Led implementation workstream; programme received the external award after enterprise rollout.</t>
  </si>
  <si>
    <t>CAREER ASPIRATION &amp; PREFERENCES</t>
  </si>
  <si>
    <t>Preferred Domain</t>
  </si>
  <si>
    <t>Up to 3 domains the employee would like to work in next.</t>
  </si>
  <si>
    <t>Controlled multi-select; maximum 3 + Other.</t>
  </si>
  <si>
    <t>Automotive; Mobility; Sales</t>
  </si>
  <si>
    <t>Preferred Function(s)</t>
  </si>
  <si>
    <t>Up to 3 functions the employee would like to explore.</t>
  </si>
  <si>
    <t>Strategy; Sales; Business Development</t>
  </si>
  <si>
    <t>Cross-sector Openness</t>
  </si>
  <si>
    <t>Willingness to consider opportunities across Mahindra sectors.</t>
  </si>
  <si>
    <t>Dropdown: Open / Conditional / Not Open.</t>
  </si>
  <si>
    <t>Open</t>
  </si>
  <si>
    <t>Mobility Preference</t>
  </si>
  <si>
    <t>Current location-mobility preference.</t>
  </si>
  <si>
    <t>Dropdown: Open / Conditional / Not Open. Preference only; does not override mobility/transfer policy.</t>
  </si>
  <si>
    <t>Conditional</t>
  </si>
  <si>
    <t>Preferred Location(s)</t>
  </si>
  <si>
    <t>Preferred locations when mobility is Open or Conditional.</t>
  </si>
  <si>
    <t>Multi-select location + Other; show only if Open/Conditional.</t>
  </si>
  <si>
    <t>Mumbai; Pune</t>
  </si>
  <si>
    <t>Additional Exposure Interest</t>
  </si>
  <si>
    <t>Development exposure the employee would like to explore.</t>
  </si>
  <si>
    <t>Multi-select: Extra Project / Cross-functional Project / Visit New Facility / New Responsibility / Cross-sector Exposure / Short-term Assignment / Other.</t>
  </si>
  <si>
    <t>Cross-functional Project; Visit New Facility</t>
  </si>
  <si>
    <t>Short-term Preferred Role / Role Family</t>
  </si>
  <si>
    <t>Preferred role/role family over the next 1–3 years.</t>
  </si>
  <si>
    <t>Select from approved role family / role catalogue where available + Other. Avoid essay-style aspiration.</t>
  </si>
  <si>
    <t>Regional Sales / Business Development</t>
  </si>
  <si>
    <t>Long-term Preferred Role / Direction</t>
  </si>
  <si>
    <t>Longer-term role/direction the employee would like to build toward.</t>
  </si>
  <si>
    <t>Select from role family / leadership direction list where available + Other; one short qualifier allowed.</t>
  </si>
  <si>
    <t>Business Head / P&amp;L leadership</t>
  </si>
  <si>
    <t>CAREER READINESS</t>
  </si>
  <si>
    <t>Possible Next Role / Stint</t>
  </si>
  <si>
    <t>Up to 3 realistic next role/stint options considered for the employee.</t>
  </si>
  <si>
    <t>Select from approved role catalogue / role family where available; maximum 3.</t>
  </si>
  <si>
    <t>Regional Sales Manager</t>
  </si>
  <si>
    <t>Readiness Horizon</t>
  </si>
  <si>
    <t>Indicative time horizon for each possible role/stint.</t>
  </si>
  <si>
    <t>Dropdown: 0–1 year / 1–3 years / 3–5 years.</t>
  </si>
  <si>
    <t>1–3 years</t>
  </si>
  <si>
    <t>Readiness Evidence</t>
  </si>
  <si>
    <t>Evidence supporting the readiness horizon.</t>
  </si>
  <si>
    <t>Maximum 2 evidence points. Use verified role/project/performance/capability evidence; do not use generic 'high potential' wording.</t>
  </si>
  <si>
    <t>Led 2 states independently; delivered 8% conversion improvement; FY26 rating 4/5.</t>
  </si>
  <si>
    <t>PROFILE GOVERNANCE</t>
  </si>
  <si>
    <t>Profile Refresh</t>
  </si>
  <si>
    <t>Last Updated Date</t>
  </si>
  <si>
    <t>Date of latest BHR-verified Talent Card change.</t>
  </si>
  <si>
    <t>Auto timestamp after verification.</t>
  </si>
  <si>
    <t>19 Sep 2026</t>
  </si>
  <si>
    <t>Portal Workflow</t>
  </si>
  <si>
    <t>Last Verified By</t>
  </si>
  <si>
    <t>BHR person who completed latest verification.</t>
  </si>
  <si>
    <t>Display verifier name.</t>
  </si>
  <si>
    <t>Next Refresh Trigger Event</t>
  </si>
  <si>
    <t>Event that should trigger a refresh.</t>
  </si>
  <si>
    <t>Dropdown: Role/Stint Change / Annual Talent Review / Programme Milestone / End of Stint / Manual Review.</t>
  </si>
  <si>
    <t>End of current stint</t>
  </si>
  <si>
    <t>Next Refresh Trigger Date</t>
  </si>
  <si>
    <t>Target date for next refresh where known.</t>
  </si>
  <si>
    <t>Date; may be blank for event-only trigger.</t>
  </si>
  <si>
    <t>31 Mar 2027</t>
  </si>
  <si>
    <t>Profile Completeness (Live)</t>
  </si>
  <si>
    <t>Live completion of currently applicable profile.</t>
  </si>
  <si>
    <t>Count visible Yes fields only; Optional fields do not reduce completeness; No fields are hidden; untriggered conditional child fields are excluded.</t>
  </si>
  <si>
    <t>94% • 2 open requests</t>
  </si>
  <si>
    <t>Portal Calculation</t>
  </si>
  <si>
    <t>Visible fields by persona (Yes + Optional)</t>
  </si>
  <si>
    <t>Core fields by persona (Yes)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</si>
</sst>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2"/>
      <name val="Times New Roman"/>
    </font>
    <font>
      <b/>
      <sz val="12"/>
      <color rgb="FF7A1022"/>
      <name val="Times New Roman"/>
    </font>
    <font>
      <sz val="12"/>
      <color rgb="FF262626"/>
      <name val="Times New Roman"/>
    </font>
    <font>
      <b/>
      <sz val="14"/>
      <color rgb="FFFFFFFF"/>
      <name val="Times New Roman"/>
    </font>
    <font>
      <b/>
      <sz val="20"/>
      <color rgb="FFFFFFFF"/>
      <name val="Times New Roman"/>
    </font>
    <font>
      <sz val="14"/>
      <name val="Times New Roman"/>
    </font>
    <font>
      <b/>
      <sz val="12"/>
      <color rgb="FF303030"/>
      <name val="Times New Roman"/>
    </font>
    <font>
      <i/>
      <sz val="12"/>
      <color rgb="FF666666"/>
      <name val="Times New Roman"/>
    </font>
    <font>
      <b/>
      <sz val="12"/>
      <color rgb="FF262626"/>
      <name val="Times New Roman"/>
    </font>
    <font>
      <b/>
      <sz val="12"/>
      <color rgb="FFFFFFFF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BF6F7"/>
      </patternFill>
    </fill>
    <fill>
      <patternFill patternType="solid">
        <fgColor rgb="FFEDE7E9"/>
      </patternFill>
    </fill>
    <fill>
      <patternFill patternType="solid">
        <fgColor rgb="FF7A1022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EC8092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vertical="center" wrapText="1"/>
    </xf>
    <xf numFmtId="14" fontId="8" fillId="12" borderId="1" xfId="0" applyNumberFormat="1" applyFont="1" applyFill="1" applyBorder="1" applyAlignment="1">
      <alignment horizontal="left" vertical="center" wrapText="1"/>
    </xf>
    <xf numFmtId="14" fontId="8" fillId="11" borderId="1" xfId="0" applyNumberFormat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D27" sqref="D27"/>
    </sheetView>
  </sheetViews>
  <sheetFormatPr defaultColWidth="8.75" defaultRowHeight="15.75"/>
  <cols>
    <col min="1" max="1" width="36.25" style="5" customWidth="1"/>
    <col min="2" max="2" width="63.75" style="5" customWidth="1"/>
    <col min="3" max="3" width="48" style="5" customWidth="1"/>
    <col min="4" max="4" width="6.75" style="10" customWidth="1"/>
    <col min="5" max="5" width="51.625" style="10" customWidth="1"/>
    <col min="6" max="6" width="28" style="5" customWidth="1"/>
    <col min="7" max="16384" width="8.75" style="5"/>
  </cols>
  <sheetData>
    <row r="1" spans="1:8" s="6" customFormat="1" ht="25.5">
      <c r="A1" s="50" t="s">
        <v>0</v>
      </c>
      <c r="B1" s="51"/>
      <c r="C1" s="52"/>
      <c r="D1" s="10"/>
      <c r="E1" s="10"/>
    </row>
    <row r="2" spans="1:8" s="6" customFormat="1">
      <c r="A2" s="12"/>
      <c r="B2" s="12"/>
      <c r="C2" s="12"/>
      <c r="D2" s="10"/>
      <c r="E2" s="10"/>
    </row>
    <row r="3" spans="1:8" s="6" customFormat="1">
      <c r="A3" s="13" t="s">
        <v>1</v>
      </c>
      <c r="B3" s="49" t="s">
        <v>2</v>
      </c>
      <c r="C3" s="49"/>
      <c r="D3" s="10"/>
    </row>
    <row r="4" spans="1:8" s="6" customFormat="1">
      <c r="A4" s="13" t="s">
        <v>3</v>
      </c>
      <c r="B4" s="14" t="s">
        <v>4</v>
      </c>
      <c r="C4" s="15"/>
      <c r="D4" s="10"/>
    </row>
    <row r="5" spans="1:8" s="6" customFormat="1">
      <c r="A5" s="13" t="s">
        <v>5</v>
      </c>
      <c r="B5" s="53" t="s">
        <v>6</v>
      </c>
      <c r="C5" s="54"/>
      <c r="D5" s="10"/>
    </row>
    <row r="6" spans="1:8" s="6" customFormat="1">
      <c r="A6" s="13" t="s">
        <v>7</v>
      </c>
      <c r="B6" s="49" t="s">
        <v>8</v>
      </c>
      <c r="C6" s="49"/>
      <c r="D6" s="10"/>
      <c r="E6" s="10"/>
    </row>
    <row r="7" spans="1:8" s="6" customFormat="1">
      <c r="A7" s="13" t="s">
        <v>9</v>
      </c>
      <c r="B7" s="49" t="s">
        <v>10</v>
      </c>
      <c r="C7" s="49"/>
      <c r="D7" s="10"/>
      <c r="E7" s="10"/>
    </row>
    <row r="8" spans="1:8" s="6" customFormat="1">
      <c r="A8" s="13" t="s">
        <v>11</v>
      </c>
      <c r="B8" s="49" t="s">
        <v>12</v>
      </c>
      <c r="C8" s="49"/>
      <c r="D8" s="10"/>
      <c r="E8" s="10"/>
    </row>
    <row r="9" spans="1:8" s="6" customFormat="1">
      <c r="A9" s="13" t="s">
        <v>13</v>
      </c>
      <c r="B9" s="49" t="s">
        <v>14</v>
      </c>
      <c r="C9" s="49"/>
      <c r="D9" s="10"/>
      <c r="E9" s="10"/>
    </row>
    <row r="10" spans="1:8" s="6" customFormat="1">
      <c r="A10" s="13" t="s">
        <v>15</v>
      </c>
      <c r="B10" s="49" t="s">
        <v>16</v>
      </c>
      <c r="C10" s="49"/>
      <c r="D10" s="10"/>
      <c r="E10" s="10"/>
    </row>
    <row r="12" spans="1:8" s="6" customFormat="1" ht="18.75">
      <c r="A12" s="11" t="s">
        <v>9</v>
      </c>
      <c r="B12" s="11" t="s">
        <v>17</v>
      </c>
      <c r="C12" s="11" t="s">
        <v>18</v>
      </c>
      <c r="D12" s="10"/>
      <c r="E12" s="10"/>
    </row>
    <row r="13" spans="1:8" ht="31.5">
      <c r="A13" s="1" t="s">
        <v>19</v>
      </c>
      <c r="B13" s="2" t="s">
        <v>20</v>
      </c>
      <c r="C13" s="2" t="s">
        <v>21</v>
      </c>
      <c r="F13" s="6"/>
      <c r="G13" s="6"/>
      <c r="H13" s="6"/>
    </row>
    <row r="14" spans="1:8" ht="31.5">
      <c r="A14" s="3" t="s">
        <v>22</v>
      </c>
      <c r="B14" s="4" t="s">
        <v>23</v>
      </c>
      <c r="C14" s="4" t="s">
        <v>24</v>
      </c>
      <c r="F14" s="6"/>
      <c r="G14" s="6"/>
      <c r="H14" s="6"/>
    </row>
    <row r="15" spans="1:8" ht="31.5">
      <c r="A15" s="1" t="s">
        <v>25</v>
      </c>
      <c r="B15" s="2" t="s">
        <v>26</v>
      </c>
      <c r="C15" s="2" t="s">
        <v>27</v>
      </c>
      <c r="F15" s="6"/>
      <c r="G15" s="6"/>
      <c r="H15" s="6"/>
    </row>
    <row r="16" spans="1:8" ht="31.5">
      <c r="A16" s="3" t="s">
        <v>28</v>
      </c>
      <c r="B16" s="4" t="s">
        <v>29</v>
      </c>
      <c r="C16" s="4" t="s">
        <v>30</v>
      </c>
      <c r="F16" s="6"/>
      <c r="G16" s="6"/>
      <c r="H16" s="6"/>
    </row>
    <row r="17" spans="1:8" ht="31.5">
      <c r="A17" s="1" t="s">
        <v>31</v>
      </c>
      <c r="B17" s="2" t="s">
        <v>32</v>
      </c>
      <c r="C17" s="2" t="s">
        <v>33</v>
      </c>
      <c r="F17" s="6"/>
      <c r="G17" s="6"/>
      <c r="H17" s="6"/>
    </row>
    <row r="19" spans="1:8" s="7" customFormat="1" ht="18.75">
      <c r="A19" s="11" t="s">
        <v>34</v>
      </c>
      <c r="B19" s="11" t="s">
        <v>35</v>
      </c>
      <c r="C19" s="25" t="s">
        <v>36</v>
      </c>
      <c r="D19" s="10"/>
      <c r="E19" s="10"/>
    </row>
    <row r="20" spans="1:8">
      <c r="A20" s="3" t="s">
        <v>37</v>
      </c>
      <c r="B20" s="4" t="s">
        <v>38</v>
      </c>
      <c r="C20" s="46" t="s">
        <v>39</v>
      </c>
    </row>
    <row r="21" spans="1:8">
      <c r="A21" s="1" t="s">
        <v>40</v>
      </c>
      <c r="B21" s="2" t="s">
        <v>41</v>
      </c>
      <c r="C21" s="47" t="s">
        <v>42</v>
      </c>
    </row>
    <row r="22" spans="1:8">
      <c r="A22" s="3" t="s">
        <v>43</v>
      </c>
      <c r="B22" s="4" t="s">
        <v>44</v>
      </c>
      <c r="C22" s="48" t="s">
        <v>45</v>
      </c>
    </row>
    <row r="23" spans="1:8">
      <c r="A23" s="1" t="s">
        <v>46</v>
      </c>
      <c r="B23" s="2" t="s">
        <v>47</v>
      </c>
    </row>
    <row r="24" spans="1:8">
      <c r="A24" s="3" t="s">
        <v>48</v>
      </c>
      <c r="B24" s="4" t="s">
        <v>49</v>
      </c>
    </row>
    <row r="25" spans="1:8">
      <c r="A25" s="1" t="s">
        <v>50</v>
      </c>
      <c r="B25" s="2" t="s">
        <v>51</v>
      </c>
    </row>
    <row r="26" spans="1:8">
      <c r="A26" s="3" t="s">
        <v>52</v>
      </c>
      <c r="B26" s="4" t="s">
        <v>53</v>
      </c>
    </row>
    <row r="27" spans="1:8">
      <c r="A27" s="1" t="s">
        <v>54</v>
      </c>
      <c r="B27" s="2" t="s">
        <v>55</v>
      </c>
    </row>
    <row r="28" spans="1:8">
      <c r="A28" s="3" t="s">
        <v>56</v>
      </c>
      <c r="B28" s="4" t="s">
        <v>57</v>
      </c>
    </row>
    <row r="29" spans="1:8">
      <c r="A29" s="1" t="s">
        <v>58</v>
      </c>
      <c r="B29" s="2" t="s">
        <v>59</v>
      </c>
    </row>
    <row r="30" spans="1:8">
      <c r="A30" s="3" t="s">
        <v>60</v>
      </c>
      <c r="B30" s="4" t="s">
        <v>61</v>
      </c>
    </row>
    <row r="31" spans="1:8">
      <c r="A31" s="1" t="s">
        <v>62</v>
      </c>
      <c r="B31" s="2" t="s">
        <v>63</v>
      </c>
    </row>
    <row r="32" spans="1:8">
      <c r="A32" s="3" t="s">
        <v>64</v>
      </c>
      <c r="B32" s="4" t="s">
        <v>65</v>
      </c>
    </row>
    <row r="33" spans="1:2">
      <c r="A33" s="1" t="s">
        <v>66</v>
      </c>
      <c r="B33" s="2" t="s">
        <v>67</v>
      </c>
    </row>
    <row r="34" spans="1:2">
      <c r="A34" s="1" t="s">
        <v>68</v>
      </c>
      <c r="B34" s="2" t="s">
        <v>69</v>
      </c>
    </row>
  </sheetData>
  <mergeCells count="8">
    <mergeCell ref="B9:C9"/>
    <mergeCell ref="B10:C10"/>
    <mergeCell ref="A1:C1"/>
    <mergeCell ref="B5:C5"/>
    <mergeCell ref="B3:C3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0"/>
  <sheetViews>
    <sheetView workbookViewId="0">
      <pane xSplit="1" ySplit="1" topLeftCell="B2" activePane="bottomRight" state="frozen"/>
      <selection pane="bottomRight" activeCell="C69" sqref="C69"/>
      <selection pane="bottomLeft"/>
      <selection pane="topRight"/>
    </sheetView>
  </sheetViews>
  <sheetFormatPr defaultColWidth="8.75" defaultRowHeight="15.75"/>
  <cols>
    <col min="1" max="1" width="17.25" style="5" bestFit="1" customWidth="1"/>
    <col min="2" max="2" width="15.125" style="5" customWidth="1"/>
    <col min="3" max="3" width="39.375" style="5" bestFit="1" customWidth="1"/>
    <col min="4" max="4" width="26.25" style="5" customWidth="1"/>
    <col min="5" max="5" width="19.625" style="5" bestFit="1" customWidth="1"/>
    <col min="6" max="6" width="39.25" style="5" bestFit="1" customWidth="1"/>
    <col min="7" max="7" width="25.375" style="5" bestFit="1" customWidth="1"/>
    <col min="8" max="9" width="7.5" style="5" bestFit="1" customWidth="1"/>
    <col min="10" max="10" width="8" style="5" customWidth="1"/>
    <col min="11" max="11" width="7.5" style="5" bestFit="1" customWidth="1"/>
    <col min="12" max="12" width="6.75" style="5" customWidth="1"/>
    <col min="13" max="16384" width="8.75" style="5"/>
  </cols>
  <sheetData>
    <row r="1" spans="1:12" ht="31.5">
      <c r="A1" s="16" t="s">
        <v>70</v>
      </c>
      <c r="B1" s="16" t="s">
        <v>71</v>
      </c>
      <c r="C1" s="17" t="s">
        <v>72</v>
      </c>
      <c r="D1" s="17" t="s">
        <v>73</v>
      </c>
      <c r="E1" s="16" t="s">
        <v>74</v>
      </c>
      <c r="F1" s="18" t="s">
        <v>75</v>
      </c>
      <c r="G1" s="18" t="s">
        <v>76</v>
      </c>
      <c r="H1" s="16" t="s">
        <v>19</v>
      </c>
      <c r="I1" s="17" t="s">
        <v>22</v>
      </c>
      <c r="J1" s="19" t="s">
        <v>25</v>
      </c>
      <c r="K1" s="18" t="s">
        <v>77</v>
      </c>
      <c r="L1" s="20" t="s">
        <v>31</v>
      </c>
    </row>
    <row r="2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4" customFormat="1" ht="31.5">
      <c r="A3" s="26" t="s">
        <v>78</v>
      </c>
      <c r="B3" s="27" t="s">
        <v>79</v>
      </c>
      <c r="C3" s="28" t="s">
        <v>80</v>
      </c>
      <c r="D3" s="28" t="s">
        <v>81</v>
      </c>
      <c r="E3" s="29" t="s">
        <v>82</v>
      </c>
      <c r="F3" s="55" t="s">
        <v>83</v>
      </c>
      <c r="G3" s="30" t="s">
        <v>84</v>
      </c>
      <c r="H3" s="31" t="s">
        <v>85</v>
      </c>
      <c r="I3" s="31" t="s">
        <v>85</v>
      </c>
      <c r="J3" s="31" t="s">
        <v>85</v>
      </c>
      <c r="K3" s="31" t="s">
        <v>85</v>
      </c>
      <c r="L3" s="31" t="s">
        <v>85</v>
      </c>
    </row>
    <row r="4" spans="1:12" s="24" customFormat="1" ht="31.15" customHeight="1">
      <c r="A4" s="28" t="s">
        <v>86</v>
      </c>
      <c r="B4" s="27" t="s">
        <v>87</v>
      </c>
      <c r="C4" s="28" t="s">
        <v>88</v>
      </c>
      <c r="D4" s="28" t="s">
        <v>89</v>
      </c>
      <c r="E4" s="29" t="s">
        <v>90</v>
      </c>
      <c r="F4" s="55"/>
      <c r="G4" s="55" t="s">
        <v>91</v>
      </c>
      <c r="H4" s="31" t="s">
        <v>85</v>
      </c>
      <c r="I4" s="31" t="s">
        <v>85</v>
      </c>
      <c r="J4" s="31" t="s">
        <v>85</v>
      </c>
      <c r="K4" s="31" t="s">
        <v>85</v>
      </c>
      <c r="L4" s="31" t="s">
        <v>85</v>
      </c>
    </row>
    <row r="5" spans="1:12" s="24" customFormat="1" ht="47.25">
      <c r="A5" s="28" t="s">
        <v>86</v>
      </c>
      <c r="B5" s="27" t="s">
        <v>92</v>
      </c>
      <c r="C5" s="28" t="s">
        <v>93</v>
      </c>
      <c r="D5" s="28" t="s">
        <v>89</v>
      </c>
      <c r="E5" s="29" t="s">
        <v>90</v>
      </c>
      <c r="F5" s="55"/>
      <c r="G5" s="55"/>
      <c r="H5" s="31" t="s">
        <v>85</v>
      </c>
      <c r="I5" s="31" t="s">
        <v>85</v>
      </c>
      <c r="J5" s="31" t="s">
        <v>85</v>
      </c>
      <c r="K5" s="31" t="s">
        <v>85</v>
      </c>
      <c r="L5" s="31" t="s">
        <v>85</v>
      </c>
    </row>
    <row r="6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22" t="s">
        <v>94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s="24" customFormat="1" ht="31.5">
      <c r="A8" s="26" t="s">
        <v>37</v>
      </c>
      <c r="B8" s="27" t="s">
        <v>95</v>
      </c>
      <c r="C8" s="28" t="s">
        <v>96</v>
      </c>
      <c r="D8" s="28" t="s">
        <v>97</v>
      </c>
      <c r="E8" s="29" t="s">
        <v>98</v>
      </c>
      <c r="F8" s="56" t="s">
        <v>99</v>
      </c>
      <c r="G8" s="70" t="s">
        <v>84</v>
      </c>
      <c r="H8" s="31" t="s">
        <v>85</v>
      </c>
      <c r="I8" s="31" t="s">
        <v>85</v>
      </c>
      <c r="J8" s="31" t="s">
        <v>85</v>
      </c>
      <c r="K8" s="31" t="s">
        <v>85</v>
      </c>
      <c r="L8" s="31" t="s">
        <v>85</v>
      </c>
    </row>
    <row r="9" spans="1:12" s="21" customFormat="1">
      <c r="A9" s="32" t="s">
        <v>37</v>
      </c>
      <c r="B9" s="33" t="s">
        <v>100</v>
      </c>
      <c r="C9" s="34" t="s">
        <v>101</v>
      </c>
      <c r="D9" s="34" t="s">
        <v>89</v>
      </c>
      <c r="E9" s="35" t="s">
        <v>102</v>
      </c>
      <c r="F9" s="61"/>
      <c r="G9" s="73"/>
      <c r="H9" s="36" t="s">
        <v>85</v>
      </c>
      <c r="I9" s="36" t="s">
        <v>85</v>
      </c>
      <c r="J9" s="36" t="s">
        <v>85</v>
      </c>
      <c r="K9" s="36" t="s">
        <v>85</v>
      </c>
      <c r="L9" s="36" t="s">
        <v>85</v>
      </c>
    </row>
    <row r="10" spans="1:12" s="21" customFormat="1">
      <c r="A10" s="32" t="s">
        <v>37</v>
      </c>
      <c r="B10" s="33" t="s">
        <v>103</v>
      </c>
      <c r="C10" s="34" t="s">
        <v>104</v>
      </c>
      <c r="D10" s="34" t="s">
        <v>89</v>
      </c>
      <c r="E10" s="35" t="s">
        <v>105</v>
      </c>
      <c r="F10" s="61"/>
      <c r="G10" s="73"/>
      <c r="H10" s="36" t="s">
        <v>85</v>
      </c>
      <c r="I10" s="36" t="s">
        <v>85</v>
      </c>
      <c r="J10" s="36" t="s">
        <v>85</v>
      </c>
      <c r="K10" s="36" t="s">
        <v>85</v>
      </c>
      <c r="L10" s="36" t="s">
        <v>85</v>
      </c>
    </row>
    <row r="11" spans="1:12" s="24" customFormat="1" ht="31.5">
      <c r="A11" s="26" t="s">
        <v>37</v>
      </c>
      <c r="B11" s="27" t="s">
        <v>106</v>
      </c>
      <c r="C11" s="28" t="s">
        <v>107</v>
      </c>
      <c r="D11" s="28" t="s">
        <v>108</v>
      </c>
      <c r="E11" s="29" t="s">
        <v>109</v>
      </c>
      <c r="F11" s="65"/>
      <c r="G11" s="71"/>
      <c r="H11" s="31" t="s">
        <v>85</v>
      </c>
      <c r="I11" s="31" t="s">
        <v>85</v>
      </c>
      <c r="J11" s="31" t="s">
        <v>85</v>
      </c>
      <c r="K11" s="31" t="s">
        <v>85</v>
      </c>
      <c r="L11" s="31" t="s">
        <v>85</v>
      </c>
    </row>
    <row r="12" spans="1:12" s="24" customFormat="1" ht="31.5">
      <c r="A12" s="26" t="s">
        <v>37</v>
      </c>
      <c r="B12" s="27" t="s">
        <v>110</v>
      </c>
      <c r="C12" s="28" t="s">
        <v>111</v>
      </c>
      <c r="D12" s="28" t="s">
        <v>112</v>
      </c>
      <c r="E12" s="29" t="s">
        <v>113</v>
      </c>
      <c r="F12" s="57"/>
      <c r="G12" s="72"/>
      <c r="H12" s="31" t="s">
        <v>85</v>
      </c>
      <c r="I12" s="31" t="s">
        <v>85</v>
      </c>
      <c r="J12" s="31" t="s">
        <v>85</v>
      </c>
      <c r="K12" s="31" t="s">
        <v>85</v>
      </c>
      <c r="L12" s="31" t="s">
        <v>85</v>
      </c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82" t="s">
        <v>114</v>
      </c>
      <c r="B14" s="83"/>
      <c r="C14" s="83"/>
      <c r="D14" s="22"/>
      <c r="E14" s="22"/>
      <c r="F14" s="22"/>
      <c r="G14" s="22"/>
      <c r="H14" s="22"/>
      <c r="I14" s="22"/>
      <c r="J14" s="22"/>
      <c r="K14" s="22"/>
      <c r="L14" s="22"/>
    </row>
    <row r="15" spans="1:12" s="21" customFormat="1" ht="31.5">
      <c r="A15" s="32" t="s">
        <v>115</v>
      </c>
      <c r="B15" s="33" t="s">
        <v>116</v>
      </c>
      <c r="C15" s="34" t="s">
        <v>117</v>
      </c>
      <c r="D15" s="34" t="s">
        <v>118</v>
      </c>
      <c r="E15" s="35" t="s">
        <v>119</v>
      </c>
      <c r="F15" s="58" t="s">
        <v>99</v>
      </c>
      <c r="G15" s="75" t="s">
        <v>84</v>
      </c>
      <c r="H15" s="36" t="s">
        <v>85</v>
      </c>
      <c r="I15" s="36" t="s">
        <v>85</v>
      </c>
      <c r="J15" s="36" t="s">
        <v>85</v>
      </c>
      <c r="K15" s="36" t="s">
        <v>85</v>
      </c>
      <c r="L15" s="36" t="s">
        <v>85</v>
      </c>
    </row>
    <row r="16" spans="1:12" s="21" customFormat="1">
      <c r="A16" s="32" t="s">
        <v>115</v>
      </c>
      <c r="B16" s="33" t="s">
        <v>120</v>
      </c>
      <c r="C16" s="34" t="s">
        <v>121</v>
      </c>
      <c r="D16" s="34" t="s">
        <v>122</v>
      </c>
      <c r="E16" s="35" t="s">
        <v>123</v>
      </c>
      <c r="F16" s="58"/>
      <c r="G16" s="75"/>
      <c r="H16" s="36" t="s">
        <v>85</v>
      </c>
      <c r="I16" s="36" t="s">
        <v>85</v>
      </c>
      <c r="J16" s="36" t="s">
        <v>85</v>
      </c>
      <c r="K16" s="36" t="s">
        <v>85</v>
      </c>
      <c r="L16" s="36" t="s">
        <v>85</v>
      </c>
    </row>
    <row r="17" spans="1:12" s="23" customFormat="1" ht="47.25">
      <c r="A17" s="37" t="s">
        <v>115</v>
      </c>
      <c r="B17" s="38" t="s">
        <v>124</v>
      </c>
      <c r="C17" s="39" t="s">
        <v>125</v>
      </c>
      <c r="D17" s="39" t="s">
        <v>126</v>
      </c>
      <c r="E17" s="40" t="s">
        <v>127</v>
      </c>
      <c r="F17" s="59"/>
      <c r="G17" s="76"/>
      <c r="H17" s="41" t="s">
        <v>85</v>
      </c>
      <c r="I17" s="41" t="s">
        <v>128</v>
      </c>
      <c r="J17" s="41" t="s">
        <v>129</v>
      </c>
      <c r="K17" s="41" t="s">
        <v>129</v>
      </c>
      <c r="L17" s="41" t="s">
        <v>129</v>
      </c>
    </row>
    <row r="18" spans="1:12" s="23" customFormat="1" ht="31.5">
      <c r="A18" s="37" t="s">
        <v>115</v>
      </c>
      <c r="B18" s="38" t="s">
        <v>130</v>
      </c>
      <c r="C18" s="39" t="s">
        <v>131</v>
      </c>
      <c r="D18" s="39" t="s">
        <v>132</v>
      </c>
      <c r="E18" s="40" t="s">
        <v>133</v>
      </c>
      <c r="F18" s="59"/>
      <c r="G18" s="76"/>
      <c r="H18" s="41" t="s">
        <v>85</v>
      </c>
      <c r="I18" s="41" t="s">
        <v>128</v>
      </c>
      <c r="J18" s="41" t="s">
        <v>129</v>
      </c>
      <c r="K18" s="41" t="s">
        <v>129</v>
      </c>
      <c r="L18" s="41" t="s">
        <v>129</v>
      </c>
    </row>
    <row r="19" spans="1:12" s="21" customFormat="1" ht="31.5">
      <c r="A19" s="32" t="s">
        <v>134</v>
      </c>
      <c r="B19" s="33" t="s">
        <v>135</v>
      </c>
      <c r="C19" s="34" t="s">
        <v>136</v>
      </c>
      <c r="D19" s="34" t="s">
        <v>137</v>
      </c>
      <c r="E19" s="35" t="s">
        <v>138</v>
      </c>
      <c r="F19" s="58"/>
      <c r="G19" s="75"/>
      <c r="H19" s="36" t="s">
        <v>85</v>
      </c>
      <c r="I19" s="36" t="s">
        <v>85</v>
      </c>
      <c r="J19" s="36" t="s">
        <v>85</v>
      </c>
      <c r="K19" s="36" t="s">
        <v>85</v>
      </c>
      <c r="L19" s="36" t="s">
        <v>85</v>
      </c>
    </row>
    <row r="20" spans="1:12" s="24" customFormat="1" ht="31.5">
      <c r="A20" s="26" t="s">
        <v>134</v>
      </c>
      <c r="B20" s="27" t="s">
        <v>139</v>
      </c>
      <c r="C20" s="28" t="s">
        <v>140</v>
      </c>
      <c r="D20" s="28" t="s">
        <v>141</v>
      </c>
      <c r="E20" s="29" t="s">
        <v>142</v>
      </c>
      <c r="F20" s="55"/>
      <c r="G20" s="77"/>
      <c r="H20" s="31" t="s">
        <v>85</v>
      </c>
      <c r="I20" s="31" t="s">
        <v>85</v>
      </c>
      <c r="J20" s="31" t="s">
        <v>85</v>
      </c>
      <c r="K20" s="31" t="s">
        <v>85</v>
      </c>
      <c r="L20" s="31" t="s">
        <v>85</v>
      </c>
    </row>
    <row r="21" spans="1:12" s="21" customFormat="1" ht="47.25">
      <c r="A21" s="32" t="s">
        <v>134</v>
      </c>
      <c r="B21" s="33" t="s">
        <v>143</v>
      </c>
      <c r="C21" s="34" t="s">
        <v>144</v>
      </c>
      <c r="D21" s="34" t="s">
        <v>145</v>
      </c>
      <c r="E21" s="35" t="s">
        <v>146</v>
      </c>
      <c r="F21" s="58"/>
      <c r="G21" s="75"/>
      <c r="H21" s="36" t="s">
        <v>85</v>
      </c>
      <c r="I21" s="36" t="s">
        <v>85</v>
      </c>
      <c r="J21" s="36" t="s">
        <v>85</v>
      </c>
      <c r="K21" s="36" t="s">
        <v>85</v>
      </c>
      <c r="L21" s="36" t="s">
        <v>85</v>
      </c>
    </row>
    <row r="22" spans="1:12" s="21" customFormat="1" ht="31.5">
      <c r="A22" s="32" t="s">
        <v>134</v>
      </c>
      <c r="B22" s="33" t="s">
        <v>147</v>
      </c>
      <c r="C22" s="34" t="s">
        <v>148</v>
      </c>
      <c r="D22" s="34" t="s">
        <v>149</v>
      </c>
      <c r="E22" s="35" t="s">
        <v>150</v>
      </c>
      <c r="F22" s="58"/>
      <c r="G22" s="75"/>
      <c r="H22" s="36" t="s">
        <v>85</v>
      </c>
      <c r="I22" s="36" t="s">
        <v>85</v>
      </c>
      <c r="J22" s="36" t="s">
        <v>85</v>
      </c>
      <c r="K22" s="36" t="s">
        <v>85</v>
      </c>
      <c r="L22" s="36" t="s">
        <v>85</v>
      </c>
    </row>
    <row r="23" spans="1:12" s="21" customFormat="1" ht="31.5">
      <c r="A23" s="32" t="s">
        <v>134</v>
      </c>
      <c r="B23" s="33" t="s">
        <v>151</v>
      </c>
      <c r="C23" s="34" t="s">
        <v>152</v>
      </c>
      <c r="D23" s="34" t="s">
        <v>153</v>
      </c>
      <c r="E23" s="35" t="s">
        <v>154</v>
      </c>
      <c r="F23" s="58"/>
      <c r="G23" s="75"/>
      <c r="H23" s="36" t="s">
        <v>85</v>
      </c>
      <c r="I23" s="36" t="s">
        <v>85</v>
      </c>
      <c r="J23" s="36" t="s">
        <v>85</v>
      </c>
      <c r="K23" s="36" t="s">
        <v>85</v>
      </c>
      <c r="L23" s="36" t="s">
        <v>85</v>
      </c>
    </row>
    <row r="24" spans="1:12" s="21" customFormat="1" ht="31.5">
      <c r="A24" s="32" t="s">
        <v>134</v>
      </c>
      <c r="B24" s="33" t="s">
        <v>155</v>
      </c>
      <c r="C24" s="34" t="s">
        <v>156</v>
      </c>
      <c r="D24" s="34" t="s">
        <v>157</v>
      </c>
      <c r="E24" s="35" t="s">
        <v>158</v>
      </c>
      <c r="F24" s="58"/>
      <c r="G24" s="75"/>
      <c r="H24" s="36" t="s">
        <v>85</v>
      </c>
      <c r="I24" s="36" t="s">
        <v>85</v>
      </c>
      <c r="J24" s="36" t="s">
        <v>85</v>
      </c>
      <c r="K24" s="36" t="s">
        <v>85</v>
      </c>
      <c r="L24" s="36" t="s">
        <v>85</v>
      </c>
    </row>
    <row r="25" spans="1:12" s="24" customFormat="1" ht="31.5">
      <c r="A25" s="26" t="s">
        <v>134</v>
      </c>
      <c r="B25" s="27" t="s">
        <v>159</v>
      </c>
      <c r="C25" s="28" t="s">
        <v>160</v>
      </c>
      <c r="D25" s="28" t="s">
        <v>161</v>
      </c>
      <c r="E25" s="29" t="s">
        <v>162</v>
      </c>
      <c r="F25" s="55"/>
      <c r="G25" s="77"/>
      <c r="H25" s="31" t="s">
        <v>85</v>
      </c>
      <c r="I25" s="31" t="s">
        <v>85</v>
      </c>
      <c r="J25" s="31" t="s">
        <v>85</v>
      </c>
      <c r="K25" s="31" t="s">
        <v>85</v>
      </c>
      <c r="L25" s="31" t="s">
        <v>85</v>
      </c>
    </row>
    <row r="26" spans="1:12" s="24" customFormat="1" ht="47.25">
      <c r="A26" s="26" t="s">
        <v>134</v>
      </c>
      <c r="B26" s="27" t="s">
        <v>163</v>
      </c>
      <c r="C26" s="28" t="s">
        <v>164</v>
      </c>
      <c r="D26" s="28" t="s">
        <v>165</v>
      </c>
      <c r="E26" s="29" t="s">
        <v>166</v>
      </c>
      <c r="F26" s="42" t="s">
        <v>167</v>
      </c>
      <c r="G26" s="77"/>
      <c r="H26" s="31" t="s">
        <v>85</v>
      </c>
      <c r="I26" s="31" t="s">
        <v>85</v>
      </c>
      <c r="J26" s="31" t="s">
        <v>85</v>
      </c>
      <c r="K26" s="31" t="s">
        <v>85</v>
      </c>
      <c r="L26" s="31" t="s">
        <v>85</v>
      </c>
    </row>
    <row r="27" spans="1:12" s="21" customFormat="1" ht="47.25">
      <c r="A27" s="32" t="s">
        <v>134</v>
      </c>
      <c r="B27" s="33" t="s">
        <v>168</v>
      </c>
      <c r="C27" s="34" t="s">
        <v>169</v>
      </c>
      <c r="D27" s="34" t="s">
        <v>170</v>
      </c>
      <c r="E27" s="35" t="s">
        <v>171</v>
      </c>
      <c r="F27" s="58" t="s">
        <v>99</v>
      </c>
      <c r="G27" s="75"/>
      <c r="H27" s="36" t="s">
        <v>85</v>
      </c>
      <c r="I27" s="36" t="s">
        <v>85</v>
      </c>
      <c r="J27" s="36" t="s">
        <v>85</v>
      </c>
      <c r="K27" s="36" t="s">
        <v>85</v>
      </c>
      <c r="L27" s="36" t="s">
        <v>85</v>
      </c>
    </row>
    <row r="28" spans="1:12" s="24" customFormat="1" ht="31.5">
      <c r="A28" s="26" t="s">
        <v>134</v>
      </c>
      <c r="B28" s="27" t="s">
        <v>172</v>
      </c>
      <c r="C28" s="28" t="s">
        <v>173</v>
      </c>
      <c r="D28" s="28" t="s">
        <v>174</v>
      </c>
      <c r="E28" s="29" t="s">
        <v>175</v>
      </c>
      <c r="F28" s="55"/>
      <c r="G28" s="77"/>
      <c r="H28" s="31" t="s">
        <v>85</v>
      </c>
      <c r="I28" s="31" t="s">
        <v>85</v>
      </c>
      <c r="J28" s="31" t="s">
        <v>85</v>
      </c>
      <c r="K28" s="31" t="s">
        <v>85</v>
      </c>
      <c r="L28" s="31" t="s">
        <v>85</v>
      </c>
    </row>
    <row r="29" spans="1:12" s="24" customFormat="1" ht="47.25">
      <c r="A29" s="26" t="s">
        <v>134</v>
      </c>
      <c r="B29" s="27" t="s">
        <v>176</v>
      </c>
      <c r="C29" s="28" t="s">
        <v>177</v>
      </c>
      <c r="D29" s="28" t="s">
        <v>178</v>
      </c>
      <c r="E29" s="29" t="s">
        <v>179</v>
      </c>
      <c r="F29" s="55"/>
      <c r="G29" s="77"/>
      <c r="H29" s="31" t="s">
        <v>85</v>
      </c>
      <c r="I29" s="31" t="s">
        <v>85</v>
      </c>
      <c r="J29" s="31" t="s">
        <v>85</v>
      </c>
      <c r="K29" s="31" t="s">
        <v>85</v>
      </c>
      <c r="L29" s="31" t="s">
        <v>85</v>
      </c>
    </row>
    <row r="30" spans="1:12" s="24" customFormat="1" ht="31.5">
      <c r="A30" s="26" t="s">
        <v>134</v>
      </c>
      <c r="B30" s="27" t="s">
        <v>180</v>
      </c>
      <c r="C30" s="28" t="s">
        <v>181</v>
      </c>
      <c r="D30" s="28" t="s">
        <v>182</v>
      </c>
      <c r="E30" s="29" t="s">
        <v>183</v>
      </c>
      <c r="F30" s="55" t="s">
        <v>184</v>
      </c>
      <c r="G30" s="77"/>
      <c r="H30" s="31" t="s">
        <v>85</v>
      </c>
      <c r="I30" s="31" t="s">
        <v>85</v>
      </c>
      <c r="J30" s="31" t="s">
        <v>85</v>
      </c>
      <c r="K30" s="31" t="s">
        <v>85</v>
      </c>
      <c r="L30" s="31" t="s">
        <v>85</v>
      </c>
    </row>
    <row r="31" spans="1:12" s="24" customFormat="1" ht="31.5">
      <c r="A31" s="26" t="s">
        <v>134</v>
      </c>
      <c r="B31" s="27" t="s">
        <v>185</v>
      </c>
      <c r="C31" s="28" t="s">
        <v>186</v>
      </c>
      <c r="D31" s="28" t="s">
        <v>187</v>
      </c>
      <c r="E31" s="29" t="s">
        <v>179</v>
      </c>
      <c r="F31" s="55"/>
      <c r="G31" s="77"/>
      <c r="H31" s="31" t="s">
        <v>85</v>
      </c>
      <c r="I31" s="31" t="s">
        <v>85</v>
      </c>
      <c r="J31" s="31" t="s">
        <v>85</v>
      </c>
      <c r="K31" s="31" t="s">
        <v>85</v>
      </c>
      <c r="L31" s="31" t="s">
        <v>85</v>
      </c>
    </row>
    <row r="32" spans="1:12" s="24" customFormat="1" ht="31.5">
      <c r="A32" s="26" t="s">
        <v>134</v>
      </c>
      <c r="B32" s="27" t="s">
        <v>188</v>
      </c>
      <c r="C32" s="28" t="s">
        <v>189</v>
      </c>
      <c r="D32" s="28" t="s">
        <v>182</v>
      </c>
      <c r="E32" s="29" t="s">
        <v>190</v>
      </c>
      <c r="F32" s="55"/>
      <c r="G32" s="77"/>
      <c r="H32" s="31" t="s">
        <v>85</v>
      </c>
      <c r="I32" s="31" t="s">
        <v>85</v>
      </c>
      <c r="J32" s="31" t="s">
        <v>85</v>
      </c>
      <c r="K32" s="31" t="s">
        <v>85</v>
      </c>
      <c r="L32" s="31" t="s">
        <v>85</v>
      </c>
    </row>
    <row r="33" spans="1:12" s="24" customFormat="1" ht="31.5">
      <c r="A33" s="26" t="s">
        <v>134</v>
      </c>
      <c r="B33" s="27" t="s">
        <v>191</v>
      </c>
      <c r="C33" s="28" t="s">
        <v>192</v>
      </c>
      <c r="D33" s="28" t="s">
        <v>187</v>
      </c>
      <c r="E33" s="29" t="s">
        <v>179</v>
      </c>
      <c r="F33" s="55"/>
      <c r="G33" s="77"/>
      <c r="H33" s="31" t="s">
        <v>85</v>
      </c>
      <c r="I33" s="31" t="s">
        <v>85</v>
      </c>
      <c r="J33" s="31" t="s">
        <v>85</v>
      </c>
      <c r="K33" s="31" t="s">
        <v>85</v>
      </c>
      <c r="L33" s="31" t="s">
        <v>85</v>
      </c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4" t="s">
        <v>193</v>
      </c>
      <c r="B35" s="84"/>
      <c r="C35" s="84"/>
      <c r="D35" s="22"/>
      <c r="E35" s="22"/>
      <c r="F35" s="22"/>
      <c r="G35" s="22"/>
      <c r="H35" s="22"/>
      <c r="I35" s="22"/>
      <c r="J35" s="22"/>
      <c r="K35" s="22"/>
      <c r="L35" s="22"/>
    </row>
    <row r="36" spans="1:12" s="21" customFormat="1" ht="47.25">
      <c r="A36" s="32" t="s">
        <v>194</v>
      </c>
      <c r="B36" s="33" t="s">
        <v>195</v>
      </c>
      <c r="C36" s="34" t="s">
        <v>196</v>
      </c>
      <c r="D36" s="34" t="s">
        <v>197</v>
      </c>
      <c r="E36" s="35" t="s">
        <v>85</v>
      </c>
      <c r="F36" s="60" t="s">
        <v>99</v>
      </c>
      <c r="G36" s="74" t="s">
        <v>84</v>
      </c>
      <c r="H36" s="36" t="s">
        <v>85</v>
      </c>
      <c r="I36" s="36" t="s">
        <v>85</v>
      </c>
      <c r="J36" s="36" t="s">
        <v>85</v>
      </c>
      <c r="K36" s="36" t="s">
        <v>128</v>
      </c>
      <c r="L36" s="36" t="s">
        <v>128</v>
      </c>
    </row>
    <row r="37" spans="1:12" s="21" customFormat="1" ht="31.5">
      <c r="A37" s="32" t="s">
        <v>194</v>
      </c>
      <c r="B37" s="33" t="s">
        <v>198</v>
      </c>
      <c r="C37" s="34" t="s">
        <v>199</v>
      </c>
      <c r="D37" s="34" t="s">
        <v>200</v>
      </c>
      <c r="E37" s="35" t="s">
        <v>201</v>
      </c>
      <c r="F37" s="61"/>
      <c r="G37" s="73"/>
      <c r="H37" s="36" t="s">
        <v>85</v>
      </c>
      <c r="I37" s="36" t="s">
        <v>85</v>
      </c>
      <c r="J37" s="36" t="s">
        <v>85</v>
      </c>
      <c r="K37" s="36" t="s">
        <v>128</v>
      </c>
      <c r="L37" s="36" t="s">
        <v>128</v>
      </c>
    </row>
    <row r="38" spans="1:12" s="21" customFormat="1" ht="31.5">
      <c r="A38" s="32" t="s">
        <v>194</v>
      </c>
      <c r="B38" s="33" t="s">
        <v>202</v>
      </c>
      <c r="C38" s="34" t="s">
        <v>203</v>
      </c>
      <c r="D38" s="34" t="s">
        <v>204</v>
      </c>
      <c r="E38" s="35" t="s">
        <v>205</v>
      </c>
      <c r="F38" s="61"/>
      <c r="G38" s="73"/>
      <c r="H38" s="36" t="s">
        <v>85</v>
      </c>
      <c r="I38" s="36" t="s">
        <v>85</v>
      </c>
      <c r="J38" s="36" t="s">
        <v>85</v>
      </c>
      <c r="K38" s="36" t="s">
        <v>128</v>
      </c>
      <c r="L38" s="36" t="s">
        <v>128</v>
      </c>
    </row>
    <row r="39" spans="1:12" s="24" customFormat="1" ht="31.5">
      <c r="A39" s="32" t="s">
        <v>194</v>
      </c>
      <c r="B39" s="33" t="s">
        <v>206</v>
      </c>
      <c r="C39" s="34" t="s">
        <v>207</v>
      </c>
      <c r="D39" s="34" t="s">
        <v>208</v>
      </c>
      <c r="E39" s="35" t="s">
        <v>209</v>
      </c>
      <c r="F39" s="61"/>
      <c r="G39" s="73"/>
      <c r="H39" s="36" t="s">
        <v>85</v>
      </c>
      <c r="I39" s="36" t="s">
        <v>85</v>
      </c>
      <c r="J39" s="36" t="s">
        <v>85</v>
      </c>
      <c r="K39" s="36" t="s">
        <v>128</v>
      </c>
      <c r="L39" s="36" t="s">
        <v>128</v>
      </c>
    </row>
    <row r="40" spans="1:12" s="24" customFormat="1" ht="31.5">
      <c r="A40" s="26" t="s">
        <v>194</v>
      </c>
      <c r="B40" s="27" t="s">
        <v>210</v>
      </c>
      <c r="C40" s="28" t="s">
        <v>211</v>
      </c>
      <c r="D40" s="28" t="s">
        <v>212</v>
      </c>
      <c r="E40" s="29" t="s">
        <v>213</v>
      </c>
      <c r="F40" s="65"/>
      <c r="G40" s="71"/>
      <c r="H40" s="31" t="s">
        <v>85</v>
      </c>
      <c r="I40" s="31" t="s">
        <v>85</v>
      </c>
      <c r="J40" s="31" t="s">
        <v>85</v>
      </c>
      <c r="K40" s="31" t="s">
        <v>128</v>
      </c>
      <c r="L40" s="31" t="s">
        <v>128</v>
      </c>
    </row>
    <row r="41" spans="1:12" s="24" customFormat="1" ht="63">
      <c r="A41" s="26" t="s">
        <v>194</v>
      </c>
      <c r="B41" s="27" t="s">
        <v>214</v>
      </c>
      <c r="C41" s="28" t="s">
        <v>215</v>
      </c>
      <c r="D41" s="28" t="s">
        <v>216</v>
      </c>
      <c r="E41" s="29" t="s">
        <v>217</v>
      </c>
      <c r="F41" s="57"/>
      <c r="G41" s="71"/>
      <c r="H41" s="31" t="s">
        <v>85</v>
      </c>
      <c r="I41" s="31" t="s">
        <v>128</v>
      </c>
      <c r="J41" s="31" t="s">
        <v>129</v>
      </c>
      <c r="K41" s="31" t="s">
        <v>129</v>
      </c>
      <c r="L41" s="31" t="s">
        <v>129</v>
      </c>
    </row>
    <row r="42" spans="1:12" s="23" customFormat="1" ht="78.75">
      <c r="A42" s="37" t="s">
        <v>218</v>
      </c>
      <c r="B42" s="38" t="s">
        <v>219</v>
      </c>
      <c r="C42" s="39" t="s">
        <v>220</v>
      </c>
      <c r="D42" s="39" t="s">
        <v>221</v>
      </c>
      <c r="E42" s="40" t="s">
        <v>222</v>
      </c>
      <c r="F42" s="64" t="s">
        <v>223</v>
      </c>
      <c r="G42" s="68"/>
      <c r="H42" s="41" t="s">
        <v>128</v>
      </c>
      <c r="I42" s="41" t="s">
        <v>128</v>
      </c>
      <c r="J42" s="41" t="s">
        <v>129</v>
      </c>
      <c r="K42" s="41" t="s">
        <v>129</v>
      </c>
      <c r="L42" s="41" t="s">
        <v>129</v>
      </c>
    </row>
    <row r="43" spans="1:12" s="23" customFormat="1" ht="78.75">
      <c r="A43" s="37" t="s">
        <v>218</v>
      </c>
      <c r="B43" s="38" t="s">
        <v>224</v>
      </c>
      <c r="C43" s="39" t="s">
        <v>225</v>
      </c>
      <c r="D43" s="39" t="s">
        <v>226</v>
      </c>
      <c r="E43" s="40" t="s">
        <v>227</v>
      </c>
      <c r="F43" s="62"/>
      <c r="G43" s="68"/>
      <c r="H43" s="41" t="s">
        <v>128</v>
      </c>
      <c r="I43" s="41" t="s">
        <v>128</v>
      </c>
      <c r="J43" s="41" t="s">
        <v>129</v>
      </c>
      <c r="K43" s="41" t="s">
        <v>129</v>
      </c>
      <c r="L43" s="41" t="s">
        <v>129</v>
      </c>
    </row>
    <row r="44" spans="1:12" s="23" customFormat="1" ht="47.25">
      <c r="A44" s="37" t="s">
        <v>218</v>
      </c>
      <c r="B44" s="38" t="s">
        <v>228</v>
      </c>
      <c r="C44" s="39" t="s">
        <v>229</v>
      </c>
      <c r="D44" s="39" t="s">
        <v>230</v>
      </c>
      <c r="E44" s="40" t="s">
        <v>231</v>
      </c>
      <c r="F44" s="62"/>
      <c r="G44" s="68"/>
      <c r="H44" s="41" t="s">
        <v>128</v>
      </c>
      <c r="I44" s="41" t="s">
        <v>128</v>
      </c>
      <c r="J44" s="41" t="s">
        <v>129</v>
      </c>
      <c r="K44" s="41" t="s">
        <v>129</v>
      </c>
      <c r="L44" s="41" t="s">
        <v>129</v>
      </c>
    </row>
    <row r="45" spans="1:12" s="23" customFormat="1" ht="78.75">
      <c r="A45" s="37" t="s">
        <v>218</v>
      </c>
      <c r="B45" s="38" t="s">
        <v>232</v>
      </c>
      <c r="C45" s="39" t="s">
        <v>233</v>
      </c>
      <c r="D45" s="39" t="s">
        <v>234</v>
      </c>
      <c r="E45" s="40" t="s">
        <v>235</v>
      </c>
      <c r="F45" s="63"/>
      <c r="G45" s="68"/>
      <c r="H45" s="41" t="s">
        <v>128</v>
      </c>
      <c r="I45" s="41" t="s">
        <v>128</v>
      </c>
      <c r="J45" s="41" t="s">
        <v>129</v>
      </c>
      <c r="K45" s="41" t="s">
        <v>129</v>
      </c>
      <c r="L45" s="41" t="s">
        <v>129</v>
      </c>
    </row>
    <row r="46" spans="1:12" s="21" customFormat="1" ht="31.5">
      <c r="A46" s="32" t="s">
        <v>236</v>
      </c>
      <c r="B46" s="33" t="s">
        <v>198</v>
      </c>
      <c r="C46" s="34" t="s">
        <v>237</v>
      </c>
      <c r="D46" s="34" t="s">
        <v>200</v>
      </c>
      <c r="E46" s="35" t="s">
        <v>238</v>
      </c>
      <c r="F46" s="60" t="s">
        <v>99</v>
      </c>
      <c r="G46" s="73"/>
      <c r="H46" s="36" t="s">
        <v>85</v>
      </c>
      <c r="I46" s="36" t="s">
        <v>85</v>
      </c>
      <c r="J46" s="36" t="s">
        <v>85</v>
      </c>
      <c r="K46" s="36" t="s">
        <v>128</v>
      </c>
      <c r="L46" s="36" t="s">
        <v>128</v>
      </c>
    </row>
    <row r="47" spans="1:12" s="21" customFormat="1" ht="31.5">
      <c r="A47" s="32" t="s">
        <v>236</v>
      </c>
      <c r="B47" s="33" t="s">
        <v>202</v>
      </c>
      <c r="C47" s="34" t="s">
        <v>239</v>
      </c>
      <c r="D47" s="34" t="s">
        <v>204</v>
      </c>
      <c r="E47" s="35" t="s">
        <v>240</v>
      </c>
      <c r="F47" s="61"/>
      <c r="G47" s="73"/>
      <c r="H47" s="36" t="s">
        <v>85</v>
      </c>
      <c r="I47" s="36" t="s">
        <v>85</v>
      </c>
      <c r="J47" s="36" t="s">
        <v>85</v>
      </c>
      <c r="K47" s="36" t="s">
        <v>128</v>
      </c>
      <c r="L47" s="36" t="s">
        <v>128</v>
      </c>
    </row>
    <row r="48" spans="1:12" s="24" customFormat="1" ht="31.5">
      <c r="A48" s="32" t="s">
        <v>236</v>
      </c>
      <c r="B48" s="33" t="s">
        <v>206</v>
      </c>
      <c r="C48" s="34" t="s">
        <v>241</v>
      </c>
      <c r="D48" s="34" t="s">
        <v>208</v>
      </c>
      <c r="E48" s="35" t="s">
        <v>242</v>
      </c>
      <c r="F48" s="61"/>
      <c r="G48" s="73"/>
      <c r="H48" s="36" t="s">
        <v>85</v>
      </c>
      <c r="I48" s="36" t="s">
        <v>85</v>
      </c>
      <c r="J48" s="36" t="s">
        <v>85</v>
      </c>
      <c r="K48" s="36" t="s">
        <v>128</v>
      </c>
      <c r="L48" s="36" t="s">
        <v>128</v>
      </c>
    </row>
    <row r="49" spans="1:12" s="24" customFormat="1" ht="31.5">
      <c r="A49" s="26" t="s">
        <v>236</v>
      </c>
      <c r="B49" s="27" t="s">
        <v>210</v>
      </c>
      <c r="C49" s="28" t="s">
        <v>243</v>
      </c>
      <c r="D49" s="28" t="s">
        <v>244</v>
      </c>
      <c r="E49" s="29" t="s">
        <v>245</v>
      </c>
      <c r="F49" s="65"/>
      <c r="G49" s="71"/>
      <c r="H49" s="31" t="s">
        <v>85</v>
      </c>
      <c r="I49" s="31" t="s">
        <v>85</v>
      </c>
      <c r="J49" s="31" t="s">
        <v>85</v>
      </c>
      <c r="K49" s="31" t="s">
        <v>128</v>
      </c>
      <c r="L49" s="31" t="s">
        <v>128</v>
      </c>
    </row>
    <row r="50" spans="1:12" s="24" customFormat="1" ht="47.25">
      <c r="A50" s="26" t="s">
        <v>236</v>
      </c>
      <c r="B50" s="27" t="s">
        <v>214</v>
      </c>
      <c r="C50" s="28" t="s">
        <v>246</v>
      </c>
      <c r="D50" s="28" t="s">
        <v>247</v>
      </c>
      <c r="E50" s="29" t="s">
        <v>248</v>
      </c>
      <c r="F50" s="57"/>
      <c r="G50" s="71"/>
      <c r="H50" s="31" t="s">
        <v>85</v>
      </c>
      <c r="I50" s="31" t="s">
        <v>128</v>
      </c>
      <c r="J50" s="31" t="s">
        <v>129</v>
      </c>
      <c r="K50" s="31" t="s">
        <v>129</v>
      </c>
      <c r="L50" s="31" t="s">
        <v>129</v>
      </c>
    </row>
    <row r="51" spans="1:12" s="24" customFormat="1" ht="78.75">
      <c r="A51" s="37" t="s">
        <v>249</v>
      </c>
      <c r="B51" s="38" t="s">
        <v>219</v>
      </c>
      <c r="C51" s="39" t="s">
        <v>250</v>
      </c>
      <c r="D51" s="39" t="s">
        <v>221</v>
      </c>
      <c r="E51" s="40" t="s">
        <v>251</v>
      </c>
      <c r="F51" s="64" t="s">
        <v>99</v>
      </c>
      <c r="G51" s="68"/>
      <c r="H51" s="41" t="s">
        <v>128</v>
      </c>
      <c r="I51" s="41" t="s">
        <v>128</v>
      </c>
      <c r="J51" s="41" t="s">
        <v>129</v>
      </c>
      <c r="K51" s="41" t="s">
        <v>129</v>
      </c>
      <c r="L51" s="41" t="s">
        <v>129</v>
      </c>
    </row>
    <row r="52" spans="1:12" s="24" customFormat="1" ht="31.5">
      <c r="A52" s="37" t="s">
        <v>249</v>
      </c>
      <c r="B52" s="38" t="s">
        <v>224</v>
      </c>
      <c r="C52" s="39" t="s">
        <v>225</v>
      </c>
      <c r="D52" s="39" t="s">
        <v>252</v>
      </c>
      <c r="E52" s="40" t="s">
        <v>253</v>
      </c>
      <c r="F52" s="62"/>
      <c r="G52" s="68"/>
      <c r="H52" s="41" t="s">
        <v>128</v>
      </c>
      <c r="I52" s="41" t="s">
        <v>128</v>
      </c>
      <c r="J52" s="41" t="s">
        <v>129</v>
      </c>
      <c r="K52" s="41" t="s">
        <v>129</v>
      </c>
      <c r="L52" s="41" t="s">
        <v>129</v>
      </c>
    </row>
    <row r="53" spans="1:12" s="24" customFormat="1" ht="47.25">
      <c r="A53" s="37" t="s">
        <v>249</v>
      </c>
      <c r="B53" s="38" t="s">
        <v>228</v>
      </c>
      <c r="C53" s="39" t="s">
        <v>229</v>
      </c>
      <c r="D53" s="39" t="s">
        <v>230</v>
      </c>
      <c r="E53" s="40" t="s">
        <v>231</v>
      </c>
      <c r="F53" s="62"/>
      <c r="G53" s="68"/>
      <c r="H53" s="41" t="s">
        <v>128</v>
      </c>
      <c r="I53" s="41" t="s">
        <v>128</v>
      </c>
      <c r="J53" s="41" t="s">
        <v>129</v>
      </c>
      <c r="K53" s="41" t="s">
        <v>129</v>
      </c>
      <c r="L53" s="41" t="s">
        <v>129</v>
      </c>
    </row>
    <row r="54" spans="1:12" s="24" customFormat="1" ht="63">
      <c r="A54" s="37" t="s">
        <v>249</v>
      </c>
      <c r="B54" s="38" t="s">
        <v>232</v>
      </c>
      <c r="C54" s="39" t="s">
        <v>233</v>
      </c>
      <c r="D54" s="39" t="s">
        <v>254</v>
      </c>
      <c r="E54" s="40" t="s">
        <v>255</v>
      </c>
      <c r="F54" s="63"/>
      <c r="G54" s="68"/>
      <c r="H54" s="41" t="s">
        <v>128</v>
      </c>
      <c r="I54" s="41" t="s">
        <v>128</v>
      </c>
      <c r="J54" s="41" t="s">
        <v>129</v>
      </c>
      <c r="K54" s="41" t="s">
        <v>129</v>
      </c>
      <c r="L54" s="41" t="s">
        <v>129</v>
      </c>
    </row>
    <row r="55" spans="1:12" s="24" customFormat="1">
      <c r="A55" s="26" t="s">
        <v>256</v>
      </c>
      <c r="B55" s="27" t="s">
        <v>257</v>
      </c>
      <c r="C55" s="28" t="s">
        <v>258</v>
      </c>
      <c r="D55" s="28" t="s">
        <v>259</v>
      </c>
      <c r="E55" s="29" t="s">
        <v>260</v>
      </c>
      <c r="F55" s="56" t="s">
        <v>99</v>
      </c>
      <c r="G55" s="71"/>
      <c r="H55" s="31" t="s">
        <v>85</v>
      </c>
      <c r="I55" s="31" t="s">
        <v>85</v>
      </c>
      <c r="J55" s="31" t="s">
        <v>85</v>
      </c>
      <c r="K55" s="31" t="s">
        <v>85</v>
      </c>
      <c r="L55" s="31" t="s">
        <v>85</v>
      </c>
    </row>
    <row r="56" spans="1:12" s="24" customFormat="1" ht="47.25">
      <c r="A56" s="26" t="s">
        <v>256</v>
      </c>
      <c r="B56" s="27" t="s">
        <v>261</v>
      </c>
      <c r="C56" s="28" t="s">
        <v>262</v>
      </c>
      <c r="D56" s="28" t="s">
        <v>263</v>
      </c>
      <c r="E56" s="29" t="s">
        <v>264</v>
      </c>
      <c r="F56" s="65"/>
      <c r="G56" s="71"/>
      <c r="H56" s="31" t="s">
        <v>85</v>
      </c>
      <c r="I56" s="31" t="s">
        <v>85</v>
      </c>
      <c r="J56" s="31" t="s">
        <v>85</v>
      </c>
      <c r="K56" s="31" t="s">
        <v>85</v>
      </c>
      <c r="L56" s="31" t="s">
        <v>85</v>
      </c>
    </row>
    <row r="57" spans="1:12" s="24" customFormat="1">
      <c r="A57" s="26" t="s">
        <v>256</v>
      </c>
      <c r="B57" s="27" t="s">
        <v>265</v>
      </c>
      <c r="C57" s="28" t="s">
        <v>266</v>
      </c>
      <c r="D57" s="28" t="s">
        <v>267</v>
      </c>
      <c r="E57" s="29" t="s">
        <v>268</v>
      </c>
      <c r="F57" s="65"/>
      <c r="G57" s="71"/>
      <c r="H57" s="31" t="s">
        <v>85</v>
      </c>
      <c r="I57" s="31" t="s">
        <v>85</v>
      </c>
      <c r="J57" s="31" t="s">
        <v>85</v>
      </c>
      <c r="K57" s="31" t="s">
        <v>85</v>
      </c>
      <c r="L57" s="31" t="s">
        <v>85</v>
      </c>
    </row>
    <row r="58" spans="1:12" s="24" customFormat="1" ht="78.75">
      <c r="A58" s="26" t="s">
        <v>256</v>
      </c>
      <c r="B58" s="27" t="s">
        <v>214</v>
      </c>
      <c r="C58" s="28" t="s">
        <v>269</v>
      </c>
      <c r="D58" s="28" t="s">
        <v>270</v>
      </c>
      <c r="E58" s="29" t="s">
        <v>271</v>
      </c>
      <c r="F58" s="57"/>
      <c r="G58" s="72"/>
      <c r="H58" s="31" t="s">
        <v>85</v>
      </c>
      <c r="I58" s="31" t="s">
        <v>85</v>
      </c>
      <c r="J58" s="31" t="s">
        <v>85</v>
      </c>
      <c r="K58" s="31" t="s">
        <v>85</v>
      </c>
      <c r="L58" s="31" t="s">
        <v>85</v>
      </c>
    </row>
    <row r="59" spans="1:1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>
      <c r="A60" s="84" t="s">
        <v>272</v>
      </c>
      <c r="B60" s="84"/>
      <c r="C60" s="84"/>
      <c r="D60" s="22"/>
      <c r="E60" s="22"/>
      <c r="F60" s="22"/>
      <c r="G60" s="22"/>
      <c r="H60" s="22"/>
      <c r="I60" s="22"/>
      <c r="J60" s="22"/>
      <c r="K60" s="22"/>
      <c r="L60" s="22"/>
    </row>
    <row r="61" spans="1:12" s="24" customFormat="1" ht="31.5">
      <c r="A61" s="26" t="s">
        <v>46</v>
      </c>
      <c r="B61" s="27" t="s">
        <v>273</v>
      </c>
      <c r="C61" s="28" t="s">
        <v>274</v>
      </c>
      <c r="D61" s="28" t="s">
        <v>275</v>
      </c>
      <c r="E61" s="29" t="s">
        <v>85</v>
      </c>
      <c r="F61" s="56" t="s">
        <v>99</v>
      </c>
      <c r="G61" s="70" t="s">
        <v>84</v>
      </c>
      <c r="H61" s="31" t="s">
        <v>128</v>
      </c>
      <c r="I61" s="31" t="s">
        <v>128</v>
      </c>
      <c r="J61" s="31" t="s">
        <v>128</v>
      </c>
      <c r="K61" s="31" t="s">
        <v>128</v>
      </c>
      <c r="L61" s="31" t="s">
        <v>128</v>
      </c>
    </row>
    <row r="62" spans="1:12" s="24" customFormat="1" ht="31.5">
      <c r="A62" s="26" t="s">
        <v>46</v>
      </c>
      <c r="B62" s="27" t="s">
        <v>276</v>
      </c>
      <c r="C62" s="28" t="s">
        <v>277</v>
      </c>
      <c r="D62" s="28" t="s">
        <v>278</v>
      </c>
      <c r="E62" s="29" t="s">
        <v>279</v>
      </c>
      <c r="F62" s="65"/>
      <c r="G62" s="71"/>
      <c r="H62" s="31" t="s">
        <v>128</v>
      </c>
      <c r="I62" s="31" t="s">
        <v>128</v>
      </c>
      <c r="J62" s="31" t="s">
        <v>128</v>
      </c>
      <c r="K62" s="31" t="s">
        <v>128</v>
      </c>
      <c r="L62" s="31" t="s">
        <v>128</v>
      </c>
    </row>
    <row r="63" spans="1:12" s="24" customFormat="1" ht="31.5">
      <c r="A63" s="26" t="s">
        <v>46</v>
      </c>
      <c r="B63" s="27" t="s">
        <v>280</v>
      </c>
      <c r="C63" s="28" t="s">
        <v>281</v>
      </c>
      <c r="D63" s="28" t="s">
        <v>282</v>
      </c>
      <c r="E63" s="29" t="s">
        <v>283</v>
      </c>
      <c r="F63" s="65"/>
      <c r="G63" s="71"/>
      <c r="H63" s="31" t="s">
        <v>128</v>
      </c>
      <c r="I63" s="31" t="s">
        <v>128</v>
      </c>
      <c r="J63" s="31" t="s">
        <v>128</v>
      </c>
      <c r="K63" s="31" t="s">
        <v>128</v>
      </c>
      <c r="L63" s="31" t="s">
        <v>128</v>
      </c>
    </row>
    <row r="64" spans="1:12" s="24" customFormat="1" ht="31.5">
      <c r="A64" s="26" t="s">
        <v>46</v>
      </c>
      <c r="B64" s="27" t="s">
        <v>284</v>
      </c>
      <c r="C64" s="28" t="s">
        <v>285</v>
      </c>
      <c r="D64" s="28" t="s">
        <v>267</v>
      </c>
      <c r="E64" s="29" t="s">
        <v>286</v>
      </c>
      <c r="F64" s="65"/>
      <c r="G64" s="71"/>
      <c r="H64" s="31" t="s">
        <v>128</v>
      </c>
      <c r="I64" s="31" t="s">
        <v>128</v>
      </c>
      <c r="J64" s="31" t="s">
        <v>128</v>
      </c>
      <c r="K64" s="31" t="s">
        <v>128</v>
      </c>
      <c r="L64" s="31" t="s">
        <v>128</v>
      </c>
    </row>
    <row r="65" spans="1:12" s="24" customFormat="1" ht="31.5">
      <c r="A65" s="26" t="s">
        <v>46</v>
      </c>
      <c r="B65" s="27" t="s">
        <v>287</v>
      </c>
      <c r="C65" s="28" t="s">
        <v>288</v>
      </c>
      <c r="D65" s="28" t="s">
        <v>289</v>
      </c>
      <c r="E65" s="29" t="s">
        <v>290</v>
      </c>
      <c r="F65" s="57"/>
      <c r="G65" s="72"/>
      <c r="H65" s="31" t="s">
        <v>128</v>
      </c>
      <c r="I65" s="31" t="s">
        <v>128</v>
      </c>
      <c r="J65" s="31" t="s">
        <v>128</v>
      </c>
      <c r="K65" s="31" t="s">
        <v>128</v>
      </c>
      <c r="L65" s="31" t="s">
        <v>128</v>
      </c>
    </row>
    <row r="66" spans="1:1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84" t="s">
        <v>291</v>
      </c>
      <c r="B67" s="84"/>
      <c r="C67" s="84"/>
      <c r="D67" s="22"/>
      <c r="E67" s="22"/>
      <c r="F67" s="22"/>
      <c r="G67" s="22"/>
      <c r="H67" s="22"/>
      <c r="I67" s="22"/>
      <c r="J67" s="22"/>
      <c r="K67" s="22"/>
      <c r="L67" s="22"/>
    </row>
    <row r="68" spans="1:12" s="21" customFormat="1" ht="31.5">
      <c r="A68" s="32" t="s">
        <v>48</v>
      </c>
      <c r="B68" s="33" t="s">
        <v>292</v>
      </c>
      <c r="C68" s="34" t="s">
        <v>293</v>
      </c>
      <c r="D68" s="34" t="s">
        <v>294</v>
      </c>
      <c r="E68" s="35" t="s">
        <v>85</v>
      </c>
      <c r="F68" s="60" t="s">
        <v>223</v>
      </c>
      <c r="G68" s="74" t="s">
        <v>84</v>
      </c>
      <c r="H68" s="36" t="s">
        <v>85</v>
      </c>
      <c r="I68" s="36" t="s">
        <v>85</v>
      </c>
      <c r="J68" s="36" t="s">
        <v>85</v>
      </c>
      <c r="K68" s="36" t="s">
        <v>85</v>
      </c>
      <c r="L68" s="36" t="s">
        <v>85</v>
      </c>
    </row>
    <row r="69" spans="1:12" s="21" customFormat="1" ht="31.5">
      <c r="A69" s="32" t="s">
        <v>48</v>
      </c>
      <c r="B69" s="33" t="s">
        <v>295</v>
      </c>
      <c r="C69" s="34" t="s">
        <v>296</v>
      </c>
      <c r="D69" s="34" t="s">
        <v>297</v>
      </c>
      <c r="E69" s="35" t="s">
        <v>298</v>
      </c>
      <c r="F69" s="61"/>
      <c r="G69" s="73"/>
      <c r="H69" s="36" t="s">
        <v>85</v>
      </c>
      <c r="I69" s="36" t="s">
        <v>85</v>
      </c>
      <c r="J69" s="36" t="s">
        <v>85</v>
      </c>
      <c r="K69" s="36" t="s">
        <v>85</v>
      </c>
      <c r="L69" s="36" t="s">
        <v>85</v>
      </c>
    </row>
    <row r="70" spans="1:12" s="21" customFormat="1" ht="47.25">
      <c r="A70" s="32" t="s">
        <v>48</v>
      </c>
      <c r="B70" s="33" t="s">
        <v>299</v>
      </c>
      <c r="C70" s="34" t="s">
        <v>300</v>
      </c>
      <c r="D70" s="34" t="s">
        <v>301</v>
      </c>
      <c r="E70" s="35" t="s">
        <v>302</v>
      </c>
      <c r="F70" s="61"/>
      <c r="G70" s="73"/>
      <c r="H70" s="36" t="s">
        <v>85</v>
      </c>
      <c r="I70" s="36" t="s">
        <v>85</v>
      </c>
      <c r="J70" s="36" t="s">
        <v>85</v>
      </c>
      <c r="K70" s="36" t="s">
        <v>85</v>
      </c>
      <c r="L70" s="36" t="s">
        <v>85</v>
      </c>
    </row>
    <row r="71" spans="1:12" s="21" customFormat="1" ht="31.5">
      <c r="A71" s="32" t="s">
        <v>48</v>
      </c>
      <c r="B71" s="33" t="s">
        <v>303</v>
      </c>
      <c r="C71" s="34" t="s">
        <v>304</v>
      </c>
      <c r="D71" s="34" t="s">
        <v>305</v>
      </c>
      <c r="E71" s="35" t="s">
        <v>306</v>
      </c>
      <c r="F71" s="61"/>
      <c r="G71" s="73"/>
      <c r="H71" s="36" t="s">
        <v>85</v>
      </c>
      <c r="I71" s="36" t="s">
        <v>85</v>
      </c>
      <c r="J71" s="36" t="s">
        <v>85</v>
      </c>
      <c r="K71" s="36" t="s">
        <v>85</v>
      </c>
      <c r="L71" s="36" t="s">
        <v>85</v>
      </c>
    </row>
    <row r="72" spans="1:12" s="23" customFormat="1" ht="31.5">
      <c r="A72" s="37" t="s">
        <v>48</v>
      </c>
      <c r="B72" s="38" t="s">
        <v>307</v>
      </c>
      <c r="C72" s="39" t="s">
        <v>308</v>
      </c>
      <c r="D72" s="39" t="s">
        <v>157</v>
      </c>
      <c r="E72" s="40" t="s">
        <v>309</v>
      </c>
      <c r="F72" s="62"/>
      <c r="G72" s="68"/>
      <c r="H72" s="41" t="s">
        <v>85</v>
      </c>
      <c r="I72" s="41" t="s">
        <v>85</v>
      </c>
      <c r="J72" s="41" t="s">
        <v>85</v>
      </c>
      <c r="K72" s="41" t="s">
        <v>85</v>
      </c>
      <c r="L72" s="41" t="s">
        <v>85</v>
      </c>
    </row>
    <row r="73" spans="1:12" s="21" customFormat="1" ht="47.25">
      <c r="A73" s="32" t="s">
        <v>48</v>
      </c>
      <c r="B73" s="33" t="s">
        <v>310</v>
      </c>
      <c r="C73" s="34" t="s">
        <v>311</v>
      </c>
      <c r="D73" s="34" t="s">
        <v>312</v>
      </c>
      <c r="E73" s="35" t="s">
        <v>313</v>
      </c>
      <c r="F73" s="61"/>
      <c r="G73" s="73"/>
      <c r="H73" s="36" t="s">
        <v>85</v>
      </c>
      <c r="I73" s="36" t="s">
        <v>85</v>
      </c>
      <c r="J73" s="36" t="s">
        <v>85</v>
      </c>
      <c r="K73" s="36" t="s">
        <v>85</v>
      </c>
      <c r="L73" s="36" t="s">
        <v>85</v>
      </c>
    </row>
    <row r="74" spans="1:12" s="23" customFormat="1" ht="63">
      <c r="A74" s="37" t="s">
        <v>48</v>
      </c>
      <c r="B74" s="38" t="s">
        <v>314</v>
      </c>
      <c r="C74" s="39" t="s">
        <v>315</v>
      </c>
      <c r="D74" s="39" t="s">
        <v>316</v>
      </c>
      <c r="E74" s="40" t="s">
        <v>317</v>
      </c>
      <c r="F74" s="62"/>
      <c r="G74" s="68"/>
      <c r="H74" s="41" t="s">
        <v>85</v>
      </c>
      <c r="I74" s="41" t="s">
        <v>85</v>
      </c>
      <c r="J74" s="41" t="s">
        <v>85</v>
      </c>
      <c r="K74" s="41" t="s">
        <v>85</v>
      </c>
      <c r="L74" s="41" t="s">
        <v>85</v>
      </c>
    </row>
    <row r="75" spans="1:12" s="23" customFormat="1" ht="78.75">
      <c r="A75" s="37" t="s">
        <v>48</v>
      </c>
      <c r="B75" s="38" t="s">
        <v>318</v>
      </c>
      <c r="C75" s="39" t="s">
        <v>319</v>
      </c>
      <c r="D75" s="39" t="s">
        <v>320</v>
      </c>
      <c r="E75" s="40" t="s">
        <v>321</v>
      </c>
      <c r="F75" s="62"/>
      <c r="G75" s="68"/>
      <c r="H75" s="41" t="s">
        <v>85</v>
      </c>
      <c r="I75" s="41" t="s">
        <v>85</v>
      </c>
      <c r="J75" s="41" t="s">
        <v>85</v>
      </c>
      <c r="K75" s="41" t="s">
        <v>85</v>
      </c>
      <c r="L75" s="41" t="s">
        <v>85</v>
      </c>
    </row>
    <row r="76" spans="1:12" s="23" customFormat="1" ht="47.25">
      <c r="A76" s="37" t="s">
        <v>322</v>
      </c>
      <c r="B76" s="38" t="s">
        <v>323</v>
      </c>
      <c r="C76" s="39" t="s">
        <v>324</v>
      </c>
      <c r="D76" s="39" t="s">
        <v>325</v>
      </c>
      <c r="E76" s="40" t="s">
        <v>326</v>
      </c>
      <c r="F76" s="62"/>
      <c r="G76" s="68"/>
      <c r="H76" s="41" t="s">
        <v>85</v>
      </c>
      <c r="I76" s="41" t="s">
        <v>85</v>
      </c>
      <c r="J76" s="41" t="s">
        <v>85</v>
      </c>
      <c r="K76" s="41" t="s">
        <v>85</v>
      </c>
      <c r="L76" s="41" t="s">
        <v>85</v>
      </c>
    </row>
    <row r="77" spans="1:12" s="23" customFormat="1" ht="63">
      <c r="A77" s="37" t="s">
        <v>322</v>
      </c>
      <c r="B77" s="38" t="s">
        <v>327</v>
      </c>
      <c r="C77" s="39" t="s">
        <v>328</v>
      </c>
      <c r="D77" s="39" t="s">
        <v>329</v>
      </c>
      <c r="E77" s="40" t="s">
        <v>330</v>
      </c>
      <c r="F77" s="62"/>
      <c r="G77" s="68"/>
      <c r="H77" s="41" t="s">
        <v>85</v>
      </c>
      <c r="I77" s="41" t="s">
        <v>85</v>
      </c>
      <c r="J77" s="41" t="s">
        <v>85</v>
      </c>
      <c r="K77" s="41" t="s">
        <v>85</v>
      </c>
      <c r="L77" s="41" t="s">
        <v>85</v>
      </c>
    </row>
    <row r="78" spans="1:12" s="23" customFormat="1" ht="63">
      <c r="A78" s="37" t="s">
        <v>322</v>
      </c>
      <c r="B78" s="38" t="s">
        <v>331</v>
      </c>
      <c r="C78" s="39" t="s">
        <v>332</v>
      </c>
      <c r="D78" s="39" t="s">
        <v>333</v>
      </c>
      <c r="E78" s="40" t="s">
        <v>334</v>
      </c>
      <c r="F78" s="62"/>
      <c r="G78" s="68"/>
      <c r="H78" s="41" t="s">
        <v>85</v>
      </c>
      <c r="I78" s="41" t="s">
        <v>85</v>
      </c>
      <c r="J78" s="41" t="s">
        <v>85</v>
      </c>
      <c r="K78" s="41" t="s">
        <v>85</v>
      </c>
      <c r="L78" s="41" t="s">
        <v>85</v>
      </c>
    </row>
    <row r="79" spans="1:12" s="23" customFormat="1" ht="78.75">
      <c r="A79" s="37" t="s">
        <v>322</v>
      </c>
      <c r="B79" s="38" t="s">
        <v>335</v>
      </c>
      <c r="C79" s="39" t="s">
        <v>336</v>
      </c>
      <c r="D79" s="39" t="s">
        <v>337</v>
      </c>
      <c r="E79" s="40" t="s">
        <v>338</v>
      </c>
      <c r="F79" s="62"/>
      <c r="G79" s="68"/>
      <c r="H79" s="41" t="s">
        <v>85</v>
      </c>
      <c r="I79" s="41" t="s">
        <v>85</v>
      </c>
      <c r="J79" s="41" t="s">
        <v>85</v>
      </c>
      <c r="K79" s="41" t="s">
        <v>85</v>
      </c>
      <c r="L79" s="41" t="s">
        <v>85</v>
      </c>
    </row>
    <row r="80" spans="1:12" s="23" customFormat="1" ht="47.25">
      <c r="A80" s="37" t="s">
        <v>322</v>
      </c>
      <c r="B80" s="38" t="s">
        <v>339</v>
      </c>
      <c r="C80" s="39" t="s">
        <v>340</v>
      </c>
      <c r="D80" s="39" t="s">
        <v>341</v>
      </c>
      <c r="E80" s="40" t="s">
        <v>342</v>
      </c>
      <c r="F80" s="63"/>
      <c r="G80" s="69"/>
      <c r="H80" s="41" t="s">
        <v>85</v>
      </c>
      <c r="I80" s="41" t="s">
        <v>85</v>
      </c>
      <c r="J80" s="41" t="s">
        <v>85</v>
      </c>
      <c r="K80" s="41" t="s">
        <v>85</v>
      </c>
      <c r="L80" s="41" t="s">
        <v>85</v>
      </c>
    </row>
    <row r="81" spans="1:1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>
      <c r="A82" s="82" t="s">
        <v>343</v>
      </c>
      <c r="B82" s="83"/>
      <c r="C82" s="83"/>
      <c r="D82" s="85"/>
      <c r="E82" s="22"/>
      <c r="F82" s="22"/>
      <c r="G82" s="22"/>
      <c r="H82" s="22"/>
      <c r="I82" s="22"/>
      <c r="J82" s="22"/>
      <c r="K82" s="22"/>
      <c r="L82" s="22"/>
    </row>
    <row r="83" spans="1:12" s="21" customFormat="1" ht="31.5">
      <c r="A83" s="37" t="s">
        <v>50</v>
      </c>
      <c r="B83" s="38" t="s">
        <v>344</v>
      </c>
      <c r="C83" s="39" t="s">
        <v>345</v>
      </c>
      <c r="D83" s="39" t="s">
        <v>137</v>
      </c>
      <c r="E83" s="40" t="s">
        <v>346</v>
      </c>
      <c r="F83" s="64" t="s">
        <v>223</v>
      </c>
      <c r="G83" s="67" t="s">
        <v>84</v>
      </c>
      <c r="H83" s="41" t="s">
        <v>85</v>
      </c>
      <c r="I83" s="41" t="s">
        <v>128</v>
      </c>
      <c r="J83" s="41" t="s">
        <v>129</v>
      </c>
      <c r="K83" s="41" t="s">
        <v>129</v>
      </c>
      <c r="L83" s="41" t="s">
        <v>129</v>
      </c>
    </row>
    <row r="84" spans="1:12" s="21" customFormat="1" ht="31.5">
      <c r="A84" s="37" t="s">
        <v>50</v>
      </c>
      <c r="B84" s="38" t="s">
        <v>347</v>
      </c>
      <c r="C84" s="39" t="s">
        <v>348</v>
      </c>
      <c r="D84" s="39" t="s">
        <v>349</v>
      </c>
      <c r="E84" s="40" t="s">
        <v>350</v>
      </c>
      <c r="F84" s="62"/>
      <c r="G84" s="68"/>
      <c r="H84" s="41" t="s">
        <v>85</v>
      </c>
      <c r="I84" s="41" t="s">
        <v>128</v>
      </c>
      <c r="J84" s="41" t="s">
        <v>129</v>
      </c>
      <c r="K84" s="41" t="s">
        <v>129</v>
      </c>
      <c r="L84" s="41" t="s">
        <v>129</v>
      </c>
    </row>
    <row r="85" spans="1:12" s="21" customFormat="1" ht="31.5">
      <c r="A85" s="37" t="s">
        <v>50</v>
      </c>
      <c r="B85" s="38" t="s">
        <v>351</v>
      </c>
      <c r="C85" s="39" t="s">
        <v>352</v>
      </c>
      <c r="D85" s="39" t="s">
        <v>153</v>
      </c>
      <c r="E85" s="40" t="s">
        <v>353</v>
      </c>
      <c r="F85" s="62"/>
      <c r="G85" s="68"/>
      <c r="H85" s="41" t="s">
        <v>85</v>
      </c>
      <c r="I85" s="41" t="s">
        <v>128</v>
      </c>
      <c r="J85" s="41" t="s">
        <v>129</v>
      </c>
      <c r="K85" s="41" t="s">
        <v>129</v>
      </c>
      <c r="L85" s="41" t="s">
        <v>129</v>
      </c>
    </row>
    <row r="86" spans="1:12" s="21" customFormat="1" ht="31.5">
      <c r="A86" s="37" t="s">
        <v>50</v>
      </c>
      <c r="B86" s="38" t="s">
        <v>354</v>
      </c>
      <c r="C86" s="39" t="s">
        <v>355</v>
      </c>
      <c r="D86" s="39" t="s">
        <v>356</v>
      </c>
      <c r="E86" s="40" t="s">
        <v>357</v>
      </c>
      <c r="F86" s="62"/>
      <c r="G86" s="68"/>
      <c r="H86" s="41" t="s">
        <v>85</v>
      </c>
      <c r="I86" s="41" t="s">
        <v>128</v>
      </c>
      <c r="J86" s="41" t="s">
        <v>129</v>
      </c>
      <c r="K86" s="41" t="s">
        <v>129</v>
      </c>
      <c r="L86" s="41" t="s">
        <v>129</v>
      </c>
    </row>
    <row r="87" spans="1:12" s="23" customFormat="1" ht="47.25">
      <c r="A87" s="37" t="s">
        <v>50</v>
      </c>
      <c r="B87" s="38" t="s">
        <v>358</v>
      </c>
      <c r="C87" s="39" t="s">
        <v>359</v>
      </c>
      <c r="D87" s="39" t="s">
        <v>312</v>
      </c>
      <c r="E87" s="40" t="s">
        <v>360</v>
      </c>
      <c r="F87" s="62"/>
      <c r="G87" s="68"/>
      <c r="H87" s="41" t="s">
        <v>85</v>
      </c>
      <c r="I87" s="41" t="s">
        <v>128</v>
      </c>
      <c r="J87" s="41" t="s">
        <v>129</v>
      </c>
      <c r="K87" s="41" t="s">
        <v>129</v>
      </c>
      <c r="L87" s="41" t="s">
        <v>129</v>
      </c>
    </row>
    <row r="88" spans="1:12" s="21" customFormat="1" ht="31.5">
      <c r="A88" s="37" t="s">
        <v>50</v>
      </c>
      <c r="B88" s="38" t="s">
        <v>361</v>
      </c>
      <c r="C88" s="39" t="s">
        <v>362</v>
      </c>
      <c r="D88" s="39" t="s">
        <v>363</v>
      </c>
      <c r="E88" s="40" t="s">
        <v>364</v>
      </c>
      <c r="F88" s="62"/>
      <c r="G88" s="68"/>
      <c r="H88" s="41" t="s">
        <v>85</v>
      </c>
      <c r="I88" s="41" t="s">
        <v>128</v>
      </c>
      <c r="J88" s="41" t="s">
        <v>129</v>
      </c>
      <c r="K88" s="41" t="s">
        <v>129</v>
      </c>
      <c r="L88" s="41" t="s">
        <v>129</v>
      </c>
    </row>
    <row r="89" spans="1:12" s="21" customFormat="1" ht="47.25">
      <c r="A89" s="37" t="s">
        <v>50</v>
      </c>
      <c r="B89" s="38" t="s">
        <v>365</v>
      </c>
      <c r="C89" s="39" t="s">
        <v>366</v>
      </c>
      <c r="D89" s="39" t="s">
        <v>367</v>
      </c>
      <c r="E89" s="40" t="s">
        <v>368</v>
      </c>
      <c r="F89" s="62"/>
      <c r="G89" s="68"/>
      <c r="H89" s="41" t="s">
        <v>85</v>
      </c>
      <c r="I89" s="41" t="s">
        <v>128</v>
      </c>
      <c r="J89" s="41" t="s">
        <v>129</v>
      </c>
      <c r="K89" s="41" t="s">
        <v>129</v>
      </c>
      <c r="L89" s="41" t="s">
        <v>129</v>
      </c>
    </row>
    <row r="90" spans="1:12" s="21" customFormat="1" ht="47.25">
      <c r="A90" s="37" t="s">
        <v>369</v>
      </c>
      <c r="B90" s="38" t="s">
        <v>323</v>
      </c>
      <c r="C90" s="39" t="s">
        <v>370</v>
      </c>
      <c r="D90" s="39" t="s">
        <v>371</v>
      </c>
      <c r="E90" s="40" t="s">
        <v>372</v>
      </c>
      <c r="F90" s="62"/>
      <c r="G90" s="68"/>
      <c r="H90" s="41" t="s">
        <v>85</v>
      </c>
      <c r="I90" s="41" t="s">
        <v>128</v>
      </c>
      <c r="J90" s="41" t="s">
        <v>129</v>
      </c>
      <c r="K90" s="41" t="s">
        <v>129</v>
      </c>
      <c r="L90" s="41" t="s">
        <v>129</v>
      </c>
    </row>
    <row r="91" spans="1:12" s="21" customFormat="1" ht="63">
      <c r="A91" s="37" t="s">
        <v>369</v>
      </c>
      <c r="B91" s="38" t="s">
        <v>373</v>
      </c>
      <c r="C91" s="39" t="s">
        <v>374</v>
      </c>
      <c r="D91" s="39" t="s">
        <v>375</v>
      </c>
      <c r="E91" s="40" t="s">
        <v>376</v>
      </c>
      <c r="F91" s="62"/>
      <c r="G91" s="68"/>
      <c r="H91" s="41" t="s">
        <v>85</v>
      </c>
      <c r="I91" s="41" t="s">
        <v>128</v>
      </c>
      <c r="J91" s="41" t="s">
        <v>129</v>
      </c>
      <c r="K91" s="41" t="s">
        <v>129</v>
      </c>
      <c r="L91" s="41" t="s">
        <v>129</v>
      </c>
    </row>
    <row r="92" spans="1:12" s="21" customFormat="1" ht="63">
      <c r="A92" s="37" t="s">
        <v>369</v>
      </c>
      <c r="B92" s="38" t="s">
        <v>377</v>
      </c>
      <c r="C92" s="39" t="s">
        <v>378</v>
      </c>
      <c r="D92" s="39" t="s">
        <v>379</v>
      </c>
      <c r="E92" s="40" t="s">
        <v>380</v>
      </c>
      <c r="F92" s="62"/>
      <c r="G92" s="68"/>
      <c r="H92" s="41" t="s">
        <v>85</v>
      </c>
      <c r="I92" s="41" t="s">
        <v>128</v>
      </c>
      <c r="J92" s="41" t="s">
        <v>129</v>
      </c>
      <c r="K92" s="41" t="s">
        <v>129</v>
      </c>
      <c r="L92" s="41" t="s">
        <v>129</v>
      </c>
    </row>
    <row r="93" spans="1:12" s="21" customFormat="1" ht="63">
      <c r="A93" s="37" t="s">
        <v>369</v>
      </c>
      <c r="B93" s="38" t="s">
        <v>381</v>
      </c>
      <c r="C93" s="39" t="s">
        <v>382</v>
      </c>
      <c r="D93" s="39" t="s">
        <v>383</v>
      </c>
      <c r="E93" s="40" t="s">
        <v>384</v>
      </c>
      <c r="F93" s="62"/>
      <c r="G93" s="68"/>
      <c r="H93" s="41" t="s">
        <v>85</v>
      </c>
      <c r="I93" s="41" t="s">
        <v>128</v>
      </c>
      <c r="J93" s="41" t="s">
        <v>129</v>
      </c>
      <c r="K93" s="41" t="s">
        <v>129</v>
      </c>
      <c r="L93" s="41" t="s">
        <v>129</v>
      </c>
    </row>
    <row r="94" spans="1:12" s="21" customFormat="1" ht="63">
      <c r="A94" s="37" t="s">
        <v>369</v>
      </c>
      <c r="B94" s="38" t="s">
        <v>385</v>
      </c>
      <c r="C94" s="39" t="s">
        <v>386</v>
      </c>
      <c r="D94" s="39" t="s">
        <v>387</v>
      </c>
      <c r="E94" s="40" t="s">
        <v>388</v>
      </c>
      <c r="F94" s="62"/>
      <c r="G94" s="68"/>
      <c r="H94" s="41" t="s">
        <v>85</v>
      </c>
      <c r="I94" s="41" t="s">
        <v>128</v>
      </c>
      <c r="J94" s="41" t="s">
        <v>129</v>
      </c>
      <c r="K94" s="41" t="s">
        <v>129</v>
      </c>
      <c r="L94" s="41" t="s">
        <v>129</v>
      </c>
    </row>
    <row r="95" spans="1:12" s="23" customFormat="1" ht="63">
      <c r="A95" s="37" t="s">
        <v>369</v>
      </c>
      <c r="B95" s="38" t="s">
        <v>389</v>
      </c>
      <c r="C95" s="39" t="s">
        <v>390</v>
      </c>
      <c r="D95" s="39" t="s">
        <v>391</v>
      </c>
      <c r="E95" s="40" t="s">
        <v>392</v>
      </c>
      <c r="F95" s="63"/>
      <c r="G95" s="69"/>
      <c r="H95" s="41" t="s">
        <v>85</v>
      </c>
      <c r="I95" s="41" t="s">
        <v>128</v>
      </c>
      <c r="J95" s="41" t="s">
        <v>129</v>
      </c>
      <c r="K95" s="41" t="s">
        <v>129</v>
      </c>
      <c r="L95" s="41" t="s">
        <v>129</v>
      </c>
    </row>
    <row r="96" spans="1:1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>
      <c r="A97" s="82" t="s">
        <v>393</v>
      </c>
      <c r="B97" s="83"/>
      <c r="C97" s="83"/>
      <c r="D97" s="22"/>
      <c r="E97" s="22"/>
      <c r="F97" s="22"/>
      <c r="G97" s="22"/>
      <c r="H97" s="22"/>
      <c r="I97" s="22"/>
      <c r="J97" s="22"/>
      <c r="K97" s="22"/>
      <c r="L97" s="22"/>
    </row>
    <row r="98" spans="1:12" s="21" customFormat="1" ht="47.25">
      <c r="A98" s="32" t="s">
        <v>52</v>
      </c>
      <c r="B98" s="33" t="s">
        <v>303</v>
      </c>
      <c r="C98" s="34" t="s">
        <v>394</v>
      </c>
      <c r="D98" s="34" t="s">
        <v>395</v>
      </c>
      <c r="E98" s="35" t="s">
        <v>146</v>
      </c>
      <c r="F98" s="60" t="s">
        <v>99</v>
      </c>
      <c r="G98" s="74" t="s">
        <v>84</v>
      </c>
      <c r="H98" s="36" t="s">
        <v>129</v>
      </c>
      <c r="I98" s="36" t="s">
        <v>85</v>
      </c>
      <c r="J98" s="36" t="s">
        <v>85</v>
      </c>
      <c r="K98" s="36" t="s">
        <v>85</v>
      </c>
      <c r="L98" s="36" t="s">
        <v>85</v>
      </c>
    </row>
    <row r="99" spans="1:12" s="21" customFormat="1" ht="47.25">
      <c r="A99" s="32" t="s">
        <v>52</v>
      </c>
      <c r="B99" s="33" t="s">
        <v>396</v>
      </c>
      <c r="C99" s="34" t="s">
        <v>397</v>
      </c>
      <c r="D99" s="34" t="s">
        <v>398</v>
      </c>
      <c r="E99" s="43">
        <v>44832</v>
      </c>
      <c r="F99" s="61"/>
      <c r="G99" s="73"/>
      <c r="H99" s="36" t="s">
        <v>129</v>
      </c>
      <c r="I99" s="36" t="s">
        <v>85</v>
      </c>
      <c r="J99" s="36" t="s">
        <v>85</v>
      </c>
      <c r="K99" s="36" t="s">
        <v>85</v>
      </c>
      <c r="L99" s="36" t="s">
        <v>85</v>
      </c>
    </row>
    <row r="100" spans="1:12" s="24" customFormat="1" ht="47.25">
      <c r="A100" s="26" t="s">
        <v>52</v>
      </c>
      <c r="B100" s="27" t="s">
        <v>399</v>
      </c>
      <c r="C100" s="28" t="s">
        <v>400</v>
      </c>
      <c r="D100" s="28" t="s">
        <v>401</v>
      </c>
      <c r="E100" s="44" t="s">
        <v>402</v>
      </c>
      <c r="F100" s="65"/>
      <c r="G100" s="71"/>
      <c r="H100" s="31" t="s">
        <v>129</v>
      </c>
      <c r="I100" s="31" t="s">
        <v>85</v>
      </c>
      <c r="J100" s="31" t="s">
        <v>85</v>
      </c>
      <c r="K100" s="31" t="s">
        <v>85</v>
      </c>
      <c r="L100" s="31" t="s">
        <v>85</v>
      </c>
    </row>
    <row r="101" spans="1:12" s="21" customFormat="1" ht="47.25">
      <c r="A101" s="32" t="s">
        <v>52</v>
      </c>
      <c r="B101" s="33" t="s">
        <v>403</v>
      </c>
      <c r="C101" s="34" t="s">
        <v>404</v>
      </c>
      <c r="D101" s="34" t="s">
        <v>405</v>
      </c>
      <c r="E101" s="43">
        <v>45904</v>
      </c>
      <c r="F101" s="61"/>
      <c r="G101" s="73"/>
      <c r="H101" s="36" t="s">
        <v>129</v>
      </c>
      <c r="I101" s="36" t="s">
        <v>85</v>
      </c>
      <c r="J101" s="36" t="s">
        <v>85</v>
      </c>
      <c r="K101" s="36" t="s">
        <v>85</v>
      </c>
      <c r="L101" s="36" t="s">
        <v>85</v>
      </c>
    </row>
    <row r="102" spans="1:12" s="21" customFormat="1" ht="47.25">
      <c r="A102" s="32" t="s">
        <v>52</v>
      </c>
      <c r="B102" s="33" t="s">
        <v>135</v>
      </c>
      <c r="C102" s="34" t="s">
        <v>406</v>
      </c>
      <c r="D102" s="34" t="s">
        <v>407</v>
      </c>
      <c r="E102" s="35" t="s">
        <v>346</v>
      </c>
      <c r="F102" s="61"/>
      <c r="G102" s="73"/>
      <c r="H102" s="36" t="s">
        <v>129</v>
      </c>
      <c r="I102" s="36" t="s">
        <v>85</v>
      </c>
      <c r="J102" s="36" t="s">
        <v>85</v>
      </c>
      <c r="K102" s="36" t="s">
        <v>85</v>
      </c>
      <c r="L102" s="36" t="s">
        <v>85</v>
      </c>
    </row>
    <row r="103" spans="1:12" s="24" customFormat="1" ht="47.25">
      <c r="A103" s="26" t="s">
        <v>52</v>
      </c>
      <c r="B103" s="27" t="s">
        <v>139</v>
      </c>
      <c r="C103" s="28" t="s">
        <v>408</v>
      </c>
      <c r="D103" s="28" t="s">
        <v>409</v>
      </c>
      <c r="E103" s="29" t="s">
        <v>350</v>
      </c>
      <c r="F103" s="65"/>
      <c r="G103" s="71"/>
      <c r="H103" s="31" t="s">
        <v>129</v>
      </c>
      <c r="I103" s="31" t="s">
        <v>85</v>
      </c>
      <c r="J103" s="31" t="s">
        <v>85</v>
      </c>
      <c r="K103" s="31" t="s">
        <v>85</v>
      </c>
      <c r="L103" s="31" t="s">
        <v>85</v>
      </c>
    </row>
    <row r="104" spans="1:12" s="24" customFormat="1" ht="47.25">
      <c r="A104" s="26" t="s">
        <v>52</v>
      </c>
      <c r="B104" s="27" t="s">
        <v>147</v>
      </c>
      <c r="C104" s="28" t="s">
        <v>410</v>
      </c>
      <c r="D104" s="28" t="s">
        <v>149</v>
      </c>
      <c r="E104" s="29" t="s">
        <v>150</v>
      </c>
      <c r="F104" s="65"/>
      <c r="G104" s="71"/>
      <c r="H104" s="31" t="s">
        <v>129</v>
      </c>
      <c r="I104" s="31" t="s">
        <v>85</v>
      </c>
      <c r="J104" s="31" t="s">
        <v>85</v>
      </c>
      <c r="K104" s="31" t="s">
        <v>85</v>
      </c>
      <c r="L104" s="31" t="s">
        <v>85</v>
      </c>
    </row>
    <row r="105" spans="1:12" s="24" customFormat="1" ht="47.25">
      <c r="A105" s="26" t="s">
        <v>52</v>
      </c>
      <c r="B105" s="27" t="s">
        <v>151</v>
      </c>
      <c r="C105" s="28" t="s">
        <v>411</v>
      </c>
      <c r="D105" s="28" t="s">
        <v>153</v>
      </c>
      <c r="E105" s="29" t="s">
        <v>154</v>
      </c>
      <c r="F105" s="65"/>
      <c r="G105" s="71"/>
      <c r="H105" s="31" t="s">
        <v>129</v>
      </c>
      <c r="I105" s="31" t="s">
        <v>85</v>
      </c>
      <c r="J105" s="31" t="s">
        <v>85</v>
      </c>
      <c r="K105" s="31" t="s">
        <v>85</v>
      </c>
      <c r="L105" s="31" t="s">
        <v>85</v>
      </c>
    </row>
    <row r="106" spans="1:12" s="21" customFormat="1" ht="47.25">
      <c r="A106" s="32" t="s">
        <v>52</v>
      </c>
      <c r="B106" s="33" t="s">
        <v>210</v>
      </c>
      <c r="C106" s="34" t="s">
        <v>412</v>
      </c>
      <c r="D106" s="34" t="s">
        <v>413</v>
      </c>
      <c r="E106" s="35" t="s">
        <v>414</v>
      </c>
      <c r="F106" s="61"/>
      <c r="G106" s="73"/>
      <c r="H106" s="36" t="s">
        <v>129</v>
      </c>
      <c r="I106" s="36" t="s">
        <v>85</v>
      </c>
      <c r="J106" s="36" t="s">
        <v>85</v>
      </c>
      <c r="K106" s="36" t="s">
        <v>85</v>
      </c>
      <c r="L106" s="36" t="s">
        <v>85</v>
      </c>
    </row>
    <row r="107" spans="1:12" s="21" customFormat="1" ht="47.25">
      <c r="A107" s="32" t="s">
        <v>52</v>
      </c>
      <c r="B107" s="33" t="s">
        <v>307</v>
      </c>
      <c r="C107" s="34" t="s">
        <v>415</v>
      </c>
      <c r="D107" s="34" t="s">
        <v>356</v>
      </c>
      <c r="E107" s="35" t="s">
        <v>416</v>
      </c>
      <c r="F107" s="61"/>
      <c r="G107" s="73"/>
      <c r="H107" s="36" t="s">
        <v>129</v>
      </c>
      <c r="I107" s="36" t="s">
        <v>85</v>
      </c>
      <c r="J107" s="36" t="s">
        <v>85</v>
      </c>
      <c r="K107" s="36" t="s">
        <v>85</v>
      </c>
      <c r="L107" s="36" t="s">
        <v>85</v>
      </c>
    </row>
    <row r="108" spans="1:12" s="24" customFormat="1" ht="47.25">
      <c r="A108" s="26" t="s">
        <v>52</v>
      </c>
      <c r="B108" s="27" t="s">
        <v>417</v>
      </c>
      <c r="C108" s="28" t="s">
        <v>418</v>
      </c>
      <c r="D108" s="28" t="s">
        <v>419</v>
      </c>
      <c r="E108" s="29" t="s">
        <v>175</v>
      </c>
      <c r="F108" s="65"/>
      <c r="G108" s="71"/>
      <c r="H108" s="31" t="s">
        <v>129</v>
      </c>
      <c r="I108" s="31" t="s">
        <v>85</v>
      </c>
      <c r="J108" s="31" t="s">
        <v>85</v>
      </c>
      <c r="K108" s="31" t="s">
        <v>85</v>
      </c>
      <c r="L108" s="31" t="s">
        <v>85</v>
      </c>
    </row>
    <row r="109" spans="1:12" s="23" customFormat="1" ht="63">
      <c r="A109" s="37" t="s">
        <v>52</v>
      </c>
      <c r="B109" s="38" t="s">
        <v>314</v>
      </c>
      <c r="C109" s="39" t="s">
        <v>420</v>
      </c>
      <c r="D109" s="39" t="s">
        <v>316</v>
      </c>
      <c r="E109" s="40" t="s">
        <v>421</v>
      </c>
      <c r="F109" s="62"/>
      <c r="G109" s="68"/>
      <c r="H109" s="41" t="s">
        <v>129</v>
      </c>
      <c r="I109" s="41" t="s">
        <v>85</v>
      </c>
      <c r="J109" s="41" t="s">
        <v>85</v>
      </c>
      <c r="K109" s="41" t="s">
        <v>85</v>
      </c>
      <c r="L109" s="41" t="s">
        <v>85</v>
      </c>
    </row>
    <row r="110" spans="1:12" s="21" customFormat="1" ht="63">
      <c r="A110" s="32" t="s">
        <v>52</v>
      </c>
      <c r="B110" s="33" t="s">
        <v>318</v>
      </c>
      <c r="C110" s="34" t="s">
        <v>422</v>
      </c>
      <c r="D110" s="34" t="s">
        <v>423</v>
      </c>
      <c r="E110" s="35" t="s">
        <v>424</v>
      </c>
      <c r="F110" s="61"/>
      <c r="G110" s="73"/>
      <c r="H110" s="36" t="s">
        <v>129</v>
      </c>
      <c r="I110" s="36" t="s">
        <v>85</v>
      </c>
      <c r="J110" s="36" t="s">
        <v>85</v>
      </c>
      <c r="K110" s="36" t="s">
        <v>85</v>
      </c>
      <c r="L110" s="36" t="s">
        <v>85</v>
      </c>
    </row>
    <row r="111" spans="1:12" s="23" customFormat="1" ht="47.25">
      <c r="A111" s="37" t="s">
        <v>425</v>
      </c>
      <c r="B111" s="38" t="s">
        <v>323</v>
      </c>
      <c r="C111" s="39" t="s">
        <v>426</v>
      </c>
      <c r="D111" s="39" t="s">
        <v>427</v>
      </c>
      <c r="E111" s="40" t="s">
        <v>428</v>
      </c>
      <c r="F111" s="62"/>
      <c r="G111" s="68"/>
      <c r="H111" s="41" t="s">
        <v>129</v>
      </c>
      <c r="I111" s="41" t="s">
        <v>85</v>
      </c>
      <c r="J111" s="41" t="s">
        <v>85</v>
      </c>
      <c r="K111" s="41" t="s">
        <v>85</v>
      </c>
      <c r="L111" s="41" t="s">
        <v>85</v>
      </c>
    </row>
    <row r="112" spans="1:12" s="23" customFormat="1" ht="63">
      <c r="A112" s="37" t="s">
        <v>425</v>
      </c>
      <c r="B112" s="38" t="s">
        <v>327</v>
      </c>
      <c r="C112" s="39" t="s">
        <v>429</v>
      </c>
      <c r="D112" s="39" t="s">
        <v>375</v>
      </c>
      <c r="E112" s="40" t="s">
        <v>430</v>
      </c>
      <c r="F112" s="62"/>
      <c r="G112" s="68"/>
      <c r="H112" s="41" t="s">
        <v>129</v>
      </c>
      <c r="I112" s="41" t="s">
        <v>85</v>
      </c>
      <c r="J112" s="41" t="s">
        <v>85</v>
      </c>
      <c r="K112" s="41" t="s">
        <v>85</v>
      </c>
      <c r="L112" s="41" t="s">
        <v>85</v>
      </c>
    </row>
    <row r="113" spans="1:12" s="23" customFormat="1" ht="63">
      <c r="A113" s="37" t="s">
        <v>425</v>
      </c>
      <c r="B113" s="38" t="s">
        <v>331</v>
      </c>
      <c r="C113" s="39" t="s">
        <v>332</v>
      </c>
      <c r="D113" s="39" t="s">
        <v>379</v>
      </c>
      <c r="E113" s="40" t="s">
        <v>431</v>
      </c>
      <c r="F113" s="62"/>
      <c r="G113" s="68"/>
      <c r="H113" s="41" t="s">
        <v>129</v>
      </c>
      <c r="I113" s="41" t="s">
        <v>85</v>
      </c>
      <c r="J113" s="41" t="s">
        <v>85</v>
      </c>
      <c r="K113" s="41" t="s">
        <v>85</v>
      </c>
      <c r="L113" s="41" t="s">
        <v>85</v>
      </c>
    </row>
    <row r="114" spans="1:12" s="23" customFormat="1" ht="63">
      <c r="A114" s="37" t="s">
        <v>425</v>
      </c>
      <c r="B114" s="38" t="s">
        <v>335</v>
      </c>
      <c r="C114" s="39" t="s">
        <v>336</v>
      </c>
      <c r="D114" s="39" t="s">
        <v>432</v>
      </c>
      <c r="E114" s="40" t="s">
        <v>433</v>
      </c>
      <c r="F114" s="62"/>
      <c r="G114" s="68"/>
      <c r="H114" s="41" t="s">
        <v>129</v>
      </c>
      <c r="I114" s="41" t="s">
        <v>85</v>
      </c>
      <c r="J114" s="41" t="s">
        <v>85</v>
      </c>
      <c r="K114" s="41" t="s">
        <v>85</v>
      </c>
      <c r="L114" s="41" t="s">
        <v>85</v>
      </c>
    </row>
    <row r="115" spans="1:12" s="23" customFormat="1" ht="47.25">
      <c r="A115" s="37" t="s">
        <v>425</v>
      </c>
      <c r="B115" s="38" t="s">
        <v>339</v>
      </c>
      <c r="C115" s="39" t="s">
        <v>434</v>
      </c>
      <c r="D115" s="39" t="s">
        <v>435</v>
      </c>
      <c r="E115" s="40" t="s">
        <v>436</v>
      </c>
      <c r="F115" s="63"/>
      <c r="G115" s="69"/>
      <c r="H115" s="41" t="s">
        <v>129</v>
      </c>
      <c r="I115" s="41" t="s">
        <v>85</v>
      </c>
      <c r="J115" s="41" t="s">
        <v>85</v>
      </c>
      <c r="K115" s="41" t="s">
        <v>85</v>
      </c>
      <c r="L115" s="41" t="s">
        <v>85</v>
      </c>
    </row>
    <row r="116" spans="1:1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84" t="s">
        <v>437</v>
      </c>
      <c r="B117" s="84"/>
      <c r="C117" s="84"/>
      <c r="D117" s="22"/>
      <c r="E117" s="22"/>
      <c r="F117" s="22"/>
      <c r="G117" s="22"/>
      <c r="H117" s="22"/>
      <c r="I117" s="22"/>
      <c r="J117" s="22"/>
      <c r="K117" s="22"/>
      <c r="L117" s="22"/>
    </row>
    <row r="118" spans="1:12" s="23" customFormat="1" ht="47.25">
      <c r="A118" s="37" t="s">
        <v>438</v>
      </c>
      <c r="B118" s="38" t="s">
        <v>439</v>
      </c>
      <c r="C118" s="39" t="s">
        <v>440</v>
      </c>
      <c r="D118" s="39" t="s">
        <v>441</v>
      </c>
      <c r="E118" s="40" t="s">
        <v>442</v>
      </c>
      <c r="F118" s="64" t="s">
        <v>443</v>
      </c>
      <c r="G118" s="67" t="s">
        <v>91</v>
      </c>
      <c r="H118" s="41" t="s">
        <v>129</v>
      </c>
      <c r="I118" s="41" t="s">
        <v>128</v>
      </c>
      <c r="J118" s="41" t="s">
        <v>85</v>
      </c>
      <c r="K118" s="41" t="s">
        <v>85</v>
      </c>
      <c r="L118" s="41" t="s">
        <v>85</v>
      </c>
    </row>
    <row r="119" spans="1:12" s="23" customFormat="1" ht="63">
      <c r="A119" s="37" t="s">
        <v>438</v>
      </c>
      <c r="B119" s="38" t="s">
        <v>444</v>
      </c>
      <c r="C119" s="39" t="s">
        <v>445</v>
      </c>
      <c r="D119" s="39" t="s">
        <v>446</v>
      </c>
      <c r="E119" s="40" t="s">
        <v>447</v>
      </c>
      <c r="F119" s="62"/>
      <c r="G119" s="68"/>
      <c r="H119" s="41" t="s">
        <v>129</v>
      </c>
      <c r="I119" s="41" t="s">
        <v>128</v>
      </c>
      <c r="J119" s="41" t="s">
        <v>85</v>
      </c>
      <c r="K119" s="41" t="s">
        <v>85</v>
      </c>
      <c r="L119" s="41" t="s">
        <v>85</v>
      </c>
    </row>
    <row r="120" spans="1:12" s="23" customFormat="1" ht="78.75">
      <c r="A120" s="37" t="s">
        <v>438</v>
      </c>
      <c r="B120" s="38" t="s">
        <v>448</v>
      </c>
      <c r="C120" s="39" t="s">
        <v>449</v>
      </c>
      <c r="D120" s="39" t="s">
        <v>450</v>
      </c>
      <c r="E120" s="40" t="s">
        <v>451</v>
      </c>
      <c r="F120" s="62"/>
      <c r="G120" s="68"/>
      <c r="H120" s="41" t="s">
        <v>129</v>
      </c>
      <c r="I120" s="41" t="s">
        <v>128</v>
      </c>
      <c r="J120" s="41" t="s">
        <v>85</v>
      </c>
      <c r="K120" s="41" t="s">
        <v>85</v>
      </c>
      <c r="L120" s="41" t="s">
        <v>85</v>
      </c>
    </row>
    <row r="121" spans="1:12" s="23" customFormat="1" ht="47.25">
      <c r="A121" s="37" t="s">
        <v>452</v>
      </c>
      <c r="B121" s="38" t="s">
        <v>439</v>
      </c>
      <c r="C121" s="39" t="s">
        <v>453</v>
      </c>
      <c r="D121" s="39" t="s">
        <v>454</v>
      </c>
      <c r="E121" s="40" t="s">
        <v>455</v>
      </c>
      <c r="F121" s="62"/>
      <c r="G121" s="68"/>
      <c r="H121" s="41" t="s">
        <v>129</v>
      </c>
      <c r="I121" s="41" t="s">
        <v>128</v>
      </c>
      <c r="J121" s="41" t="s">
        <v>85</v>
      </c>
      <c r="K121" s="41" t="s">
        <v>85</v>
      </c>
      <c r="L121" s="41" t="s">
        <v>85</v>
      </c>
    </row>
    <row r="122" spans="1:12" s="23" customFormat="1" ht="63">
      <c r="A122" s="37" t="s">
        <v>452</v>
      </c>
      <c r="B122" s="38" t="s">
        <v>444</v>
      </c>
      <c r="C122" s="39" t="s">
        <v>456</v>
      </c>
      <c r="D122" s="39" t="s">
        <v>457</v>
      </c>
      <c r="E122" s="40" t="s">
        <v>458</v>
      </c>
      <c r="F122" s="62"/>
      <c r="G122" s="68"/>
      <c r="H122" s="41" t="s">
        <v>129</v>
      </c>
      <c r="I122" s="41" t="s">
        <v>128</v>
      </c>
      <c r="J122" s="41" t="s">
        <v>85</v>
      </c>
      <c r="K122" s="41" t="s">
        <v>85</v>
      </c>
      <c r="L122" s="41" t="s">
        <v>85</v>
      </c>
    </row>
    <row r="123" spans="1:12" s="23" customFormat="1" ht="63">
      <c r="A123" s="37" t="s">
        <v>452</v>
      </c>
      <c r="B123" s="38" t="s">
        <v>448</v>
      </c>
      <c r="C123" s="39" t="s">
        <v>459</v>
      </c>
      <c r="D123" s="39" t="s">
        <v>460</v>
      </c>
      <c r="E123" s="40" t="s">
        <v>461</v>
      </c>
      <c r="F123" s="63"/>
      <c r="G123" s="69"/>
      <c r="H123" s="41" t="s">
        <v>129</v>
      </c>
      <c r="I123" s="41" t="s">
        <v>128</v>
      </c>
      <c r="J123" s="41" t="s">
        <v>85</v>
      </c>
      <c r="K123" s="41" t="s">
        <v>85</v>
      </c>
      <c r="L123" s="41" t="s">
        <v>85</v>
      </c>
    </row>
    <row r="124" spans="1:1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>
      <c r="A125" s="82" t="s">
        <v>462</v>
      </c>
      <c r="B125" s="83"/>
      <c r="C125" s="83"/>
      <c r="D125" s="22"/>
      <c r="E125" s="22"/>
      <c r="F125" s="22"/>
      <c r="G125" s="22"/>
      <c r="H125" s="22"/>
      <c r="I125" s="22"/>
      <c r="J125" s="22"/>
      <c r="K125" s="22"/>
      <c r="L125" s="22"/>
    </row>
    <row r="126" spans="1:12" s="23" customFormat="1" ht="63">
      <c r="A126" s="37" t="s">
        <v>463</v>
      </c>
      <c r="B126" s="38" t="s">
        <v>464</v>
      </c>
      <c r="C126" s="39" t="s">
        <v>465</v>
      </c>
      <c r="D126" s="39" t="s">
        <v>466</v>
      </c>
      <c r="E126" s="40" t="s">
        <v>467</v>
      </c>
      <c r="F126" s="64" t="s">
        <v>443</v>
      </c>
      <c r="G126" s="67" t="s">
        <v>91</v>
      </c>
      <c r="H126" s="41" t="s">
        <v>129</v>
      </c>
      <c r="I126" s="41" t="s">
        <v>128</v>
      </c>
      <c r="J126" s="41" t="s">
        <v>85</v>
      </c>
      <c r="K126" s="41" t="s">
        <v>85</v>
      </c>
      <c r="L126" s="41" t="s">
        <v>85</v>
      </c>
    </row>
    <row r="127" spans="1:12" s="23" customFormat="1" ht="63">
      <c r="A127" s="37" t="s">
        <v>463</v>
      </c>
      <c r="B127" s="38" t="s">
        <v>468</v>
      </c>
      <c r="C127" s="39" t="s">
        <v>469</v>
      </c>
      <c r="D127" s="39" t="s">
        <v>470</v>
      </c>
      <c r="E127" s="40" t="s">
        <v>471</v>
      </c>
      <c r="F127" s="62"/>
      <c r="G127" s="68"/>
      <c r="H127" s="41" t="s">
        <v>129</v>
      </c>
      <c r="I127" s="41" t="s">
        <v>128</v>
      </c>
      <c r="J127" s="41" t="s">
        <v>85</v>
      </c>
      <c r="K127" s="41" t="s">
        <v>85</v>
      </c>
      <c r="L127" s="41" t="s">
        <v>85</v>
      </c>
    </row>
    <row r="128" spans="1:12" s="23" customFormat="1" ht="78.75">
      <c r="A128" s="37" t="s">
        <v>463</v>
      </c>
      <c r="B128" s="38" t="s">
        <v>472</v>
      </c>
      <c r="C128" s="39" t="s">
        <v>473</v>
      </c>
      <c r="D128" s="39" t="s">
        <v>474</v>
      </c>
      <c r="E128" s="40" t="s">
        <v>475</v>
      </c>
      <c r="F128" s="62"/>
      <c r="G128" s="68"/>
      <c r="H128" s="41" t="s">
        <v>129</v>
      </c>
      <c r="I128" s="41" t="s">
        <v>128</v>
      </c>
      <c r="J128" s="41" t="s">
        <v>85</v>
      </c>
      <c r="K128" s="41" t="s">
        <v>85</v>
      </c>
      <c r="L128" s="41" t="s">
        <v>85</v>
      </c>
    </row>
    <row r="129" spans="1:12" s="23" customFormat="1" ht="63">
      <c r="A129" s="37" t="s">
        <v>463</v>
      </c>
      <c r="B129" s="38" t="s">
        <v>476</v>
      </c>
      <c r="C129" s="39" t="s">
        <v>477</v>
      </c>
      <c r="D129" s="39" t="s">
        <v>478</v>
      </c>
      <c r="E129" s="40" t="s">
        <v>479</v>
      </c>
      <c r="F129" s="62"/>
      <c r="G129" s="68"/>
      <c r="H129" s="41" t="s">
        <v>129</v>
      </c>
      <c r="I129" s="41" t="s">
        <v>128</v>
      </c>
      <c r="J129" s="41" t="s">
        <v>85</v>
      </c>
      <c r="K129" s="41" t="s">
        <v>85</v>
      </c>
      <c r="L129" s="41" t="s">
        <v>85</v>
      </c>
    </row>
    <row r="130" spans="1:12" s="23" customFormat="1" ht="63">
      <c r="A130" s="37" t="s">
        <v>463</v>
      </c>
      <c r="B130" s="38" t="s">
        <v>480</v>
      </c>
      <c r="C130" s="39" t="s">
        <v>481</v>
      </c>
      <c r="D130" s="39" t="s">
        <v>482</v>
      </c>
      <c r="E130" s="40" t="s">
        <v>483</v>
      </c>
      <c r="F130" s="62"/>
      <c r="G130" s="68"/>
      <c r="H130" s="41" t="s">
        <v>129</v>
      </c>
      <c r="I130" s="41" t="s">
        <v>128</v>
      </c>
      <c r="J130" s="41" t="s">
        <v>85</v>
      </c>
      <c r="K130" s="41" t="s">
        <v>85</v>
      </c>
      <c r="L130" s="41" t="s">
        <v>85</v>
      </c>
    </row>
    <row r="131" spans="1:12" s="23" customFormat="1" ht="31.5">
      <c r="A131" s="37" t="s">
        <v>463</v>
      </c>
      <c r="B131" s="38" t="s">
        <v>484</v>
      </c>
      <c r="C131" s="39" t="s">
        <v>485</v>
      </c>
      <c r="D131" s="39" t="s">
        <v>486</v>
      </c>
      <c r="E131" s="40" t="s">
        <v>487</v>
      </c>
      <c r="F131" s="63"/>
      <c r="G131" s="68"/>
      <c r="H131" s="41" t="s">
        <v>129</v>
      </c>
      <c r="I131" s="41" t="s">
        <v>128</v>
      </c>
      <c r="J131" s="41" t="s">
        <v>85</v>
      </c>
      <c r="K131" s="41" t="s">
        <v>85</v>
      </c>
      <c r="L131" s="41" t="s">
        <v>85</v>
      </c>
    </row>
    <row r="132" spans="1:12" s="24" customFormat="1" ht="47.25">
      <c r="A132" s="26" t="s">
        <v>463</v>
      </c>
      <c r="B132" s="27" t="s">
        <v>488</v>
      </c>
      <c r="C132" s="28" t="s">
        <v>489</v>
      </c>
      <c r="D132" s="28" t="s">
        <v>490</v>
      </c>
      <c r="E132" s="29" t="s">
        <v>491</v>
      </c>
      <c r="F132" s="56" t="s">
        <v>492</v>
      </c>
      <c r="G132" s="71"/>
      <c r="H132" s="31" t="s">
        <v>129</v>
      </c>
      <c r="I132" s="31" t="s">
        <v>128</v>
      </c>
      <c r="J132" s="31" t="s">
        <v>85</v>
      </c>
      <c r="K132" s="31" t="s">
        <v>85</v>
      </c>
      <c r="L132" s="31" t="s">
        <v>85</v>
      </c>
    </row>
    <row r="133" spans="1:12" s="24" customFormat="1" ht="31.5">
      <c r="A133" s="26" t="s">
        <v>463</v>
      </c>
      <c r="B133" s="27" t="s">
        <v>493</v>
      </c>
      <c r="C133" s="28" t="s">
        <v>494</v>
      </c>
      <c r="D133" s="28" t="s">
        <v>495</v>
      </c>
      <c r="E133" s="29" t="s">
        <v>496</v>
      </c>
      <c r="F133" s="57"/>
      <c r="G133" s="71"/>
      <c r="H133" s="31" t="s">
        <v>129</v>
      </c>
      <c r="I133" s="31" t="s">
        <v>128</v>
      </c>
      <c r="J133" s="31" t="s">
        <v>85</v>
      </c>
      <c r="K133" s="31" t="s">
        <v>85</v>
      </c>
      <c r="L133" s="31" t="s">
        <v>85</v>
      </c>
    </row>
    <row r="134" spans="1:12" s="23" customFormat="1" ht="47.25">
      <c r="A134" s="37" t="s">
        <v>463</v>
      </c>
      <c r="B134" s="38" t="s">
        <v>497</v>
      </c>
      <c r="C134" s="39" t="s">
        <v>498</v>
      </c>
      <c r="D134" s="39" t="s">
        <v>499</v>
      </c>
      <c r="E134" s="40" t="s">
        <v>500</v>
      </c>
      <c r="F134" s="45" t="s">
        <v>443</v>
      </c>
      <c r="G134" s="69"/>
      <c r="H134" s="41" t="s">
        <v>129</v>
      </c>
      <c r="I134" s="41" t="s">
        <v>128</v>
      </c>
      <c r="J134" s="41" t="s">
        <v>85</v>
      </c>
      <c r="K134" s="41" t="s">
        <v>85</v>
      </c>
      <c r="L134" s="41" t="s">
        <v>85</v>
      </c>
    </row>
    <row r="135" spans="1:1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>
      <c r="A136" s="84" t="s">
        <v>501</v>
      </c>
      <c r="B136" s="84"/>
      <c r="C136" s="84"/>
      <c r="D136" s="22"/>
      <c r="E136" s="22"/>
      <c r="F136" s="22"/>
      <c r="G136" s="22"/>
      <c r="H136" s="22"/>
      <c r="I136" s="22"/>
      <c r="J136" s="22"/>
      <c r="K136" s="22"/>
      <c r="L136" s="22"/>
    </row>
    <row r="137" spans="1:12" s="21" customFormat="1" ht="31.5">
      <c r="A137" s="32" t="s">
        <v>58</v>
      </c>
      <c r="B137" s="33" t="s">
        <v>502</v>
      </c>
      <c r="C137" s="34" t="s">
        <v>503</v>
      </c>
      <c r="D137" s="34" t="s">
        <v>504</v>
      </c>
      <c r="E137" s="35" t="s">
        <v>505</v>
      </c>
      <c r="F137" s="60" t="s">
        <v>506</v>
      </c>
      <c r="G137" s="74" t="s">
        <v>507</v>
      </c>
      <c r="H137" s="36" t="s">
        <v>129</v>
      </c>
      <c r="I137" s="36" t="s">
        <v>128</v>
      </c>
      <c r="J137" s="36" t="s">
        <v>85</v>
      </c>
      <c r="K137" s="36" t="s">
        <v>85</v>
      </c>
      <c r="L137" s="36" t="s">
        <v>85</v>
      </c>
    </row>
    <row r="138" spans="1:12" s="21" customFormat="1" ht="63">
      <c r="A138" s="32" t="s">
        <v>58</v>
      </c>
      <c r="B138" s="33" t="s">
        <v>508</v>
      </c>
      <c r="C138" s="34" t="s">
        <v>509</v>
      </c>
      <c r="D138" s="34" t="s">
        <v>510</v>
      </c>
      <c r="E138" s="35" t="s">
        <v>511</v>
      </c>
      <c r="F138" s="61"/>
      <c r="G138" s="73"/>
      <c r="H138" s="36" t="s">
        <v>129</v>
      </c>
      <c r="I138" s="36" t="s">
        <v>128</v>
      </c>
      <c r="J138" s="36" t="s">
        <v>85</v>
      </c>
      <c r="K138" s="36" t="s">
        <v>85</v>
      </c>
      <c r="L138" s="36" t="s">
        <v>85</v>
      </c>
    </row>
    <row r="139" spans="1:12" s="24" customFormat="1" ht="63">
      <c r="A139" s="26" t="s">
        <v>58</v>
      </c>
      <c r="B139" s="27" t="s">
        <v>512</v>
      </c>
      <c r="C139" s="28" t="s">
        <v>513</v>
      </c>
      <c r="D139" s="28" t="s">
        <v>514</v>
      </c>
      <c r="E139" s="29" t="s">
        <v>511</v>
      </c>
      <c r="F139" s="57"/>
      <c r="G139" s="72"/>
      <c r="H139" s="31" t="s">
        <v>129</v>
      </c>
      <c r="I139" s="31" t="s">
        <v>128</v>
      </c>
      <c r="J139" s="31" t="s">
        <v>85</v>
      </c>
      <c r="K139" s="31" t="s">
        <v>85</v>
      </c>
      <c r="L139" s="31" t="s">
        <v>85</v>
      </c>
    </row>
    <row r="140" spans="1:1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>
      <c r="A141" s="82" t="s">
        <v>515</v>
      </c>
      <c r="B141" s="83"/>
      <c r="C141" s="83"/>
      <c r="D141" s="22"/>
      <c r="E141" s="22"/>
      <c r="F141" s="22"/>
      <c r="G141" s="22"/>
      <c r="H141" s="22"/>
      <c r="I141" s="22"/>
      <c r="J141" s="22"/>
      <c r="K141" s="22"/>
      <c r="L141" s="22"/>
    </row>
    <row r="142" spans="1:12" s="23" customFormat="1" ht="47.25">
      <c r="A142" s="37" t="s">
        <v>516</v>
      </c>
      <c r="B142" s="38" t="s">
        <v>517</v>
      </c>
      <c r="C142" s="39" t="s">
        <v>518</v>
      </c>
      <c r="D142" s="39" t="s">
        <v>519</v>
      </c>
      <c r="E142" s="40" t="s">
        <v>520</v>
      </c>
      <c r="F142" s="64" t="s">
        <v>443</v>
      </c>
      <c r="G142" s="67" t="s">
        <v>91</v>
      </c>
      <c r="H142" s="41" t="s">
        <v>129</v>
      </c>
      <c r="I142" s="41" t="s">
        <v>128</v>
      </c>
      <c r="J142" s="41" t="s">
        <v>85</v>
      </c>
      <c r="K142" s="41" t="s">
        <v>85</v>
      </c>
      <c r="L142" s="41" t="s">
        <v>85</v>
      </c>
    </row>
    <row r="143" spans="1:12" s="23" customFormat="1" ht="78.75">
      <c r="A143" s="37" t="s">
        <v>516</v>
      </c>
      <c r="B143" s="38" t="s">
        <v>521</v>
      </c>
      <c r="C143" s="39" t="s">
        <v>522</v>
      </c>
      <c r="D143" s="39" t="s">
        <v>523</v>
      </c>
      <c r="E143" s="40" t="s">
        <v>524</v>
      </c>
      <c r="F143" s="62"/>
      <c r="G143" s="68"/>
      <c r="H143" s="41" t="s">
        <v>129</v>
      </c>
      <c r="I143" s="41" t="s">
        <v>128</v>
      </c>
      <c r="J143" s="41" t="s">
        <v>85</v>
      </c>
      <c r="K143" s="41" t="s">
        <v>85</v>
      </c>
      <c r="L143" s="41" t="s">
        <v>85</v>
      </c>
    </row>
    <row r="144" spans="1:12" s="23" customFormat="1" ht="47.25">
      <c r="A144" s="37" t="s">
        <v>525</v>
      </c>
      <c r="B144" s="38" t="s">
        <v>517</v>
      </c>
      <c r="C144" s="39" t="s">
        <v>526</v>
      </c>
      <c r="D144" s="39" t="s">
        <v>519</v>
      </c>
      <c r="E144" s="40" t="s">
        <v>527</v>
      </c>
      <c r="F144" s="62"/>
      <c r="G144" s="68"/>
      <c r="H144" s="41" t="s">
        <v>129</v>
      </c>
      <c r="I144" s="41" t="s">
        <v>128</v>
      </c>
      <c r="J144" s="41" t="s">
        <v>85</v>
      </c>
      <c r="K144" s="41" t="s">
        <v>85</v>
      </c>
      <c r="L144" s="41" t="s">
        <v>85</v>
      </c>
    </row>
    <row r="145" spans="1:12" s="23" customFormat="1" ht="94.5">
      <c r="A145" s="37" t="s">
        <v>525</v>
      </c>
      <c r="B145" s="38" t="s">
        <v>444</v>
      </c>
      <c r="C145" s="39" t="s">
        <v>528</v>
      </c>
      <c r="D145" s="39" t="s">
        <v>529</v>
      </c>
      <c r="E145" s="40" t="s">
        <v>530</v>
      </c>
      <c r="F145" s="63"/>
      <c r="G145" s="69"/>
      <c r="H145" s="41" t="s">
        <v>129</v>
      </c>
      <c r="I145" s="41" t="s">
        <v>128</v>
      </c>
      <c r="J145" s="41" t="s">
        <v>85</v>
      </c>
      <c r="K145" s="41" t="s">
        <v>85</v>
      </c>
      <c r="L145" s="41" t="s">
        <v>85</v>
      </c>
    </row>
    <row r="146" spans="1:1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>
      <c r="A147" s="84" t="s">
        <v>531</v>
      </c>
      <c r="B147" s="84"/>
      <c r="C147" s="84"/>
      <c r="D147" s="22"/>
      <c r="E147" s="22"/>
      <c r="F147" s="22"/>
      <c r="G147" s="22"/>
      <c r="H147" s="22"/>
      <c r="I147" s="22"/>
      <c r="J147" s="22"/>
      <c r="K147" s="22"/>
      <c r="L147" s="22"/>
    </row>
    <row r="148" spans="1:12" s="23" customFormat="1" ht="31.5">
      <c r="A148" s="37" t="s">
        <v>62</v>
      </c>
      <c r="B148" s="38" t="s">
        <v>532</v>
      </c>
      <c r="C148" s="39" t="s">
        <v>533</v>
      </c>
      <c r="D148" s="39" t="s">
        <v>534</v>
      </c>
      <c r="E148" s="40" t="s">
        <v>85</v>
      </c>
      <c r="F148" s="64" t="s">
        <v>535</v>
      </c>
      <c r="G148" s="67" t="s">
        <v>84</v>
      </c>
      <c r="H148" s="41" t="s">
        <v>128</v>
      </c>
      <c r="I148" s="41" t="s">
        <v>128</v>
      </c>
      <c r="J148" s="41" t="s">
        <v>128</v>
      </c>
      <c r="K148" s="41" t="s">
        <v>128</v>
      </c>
      <c r="L148" s="41" t="s">
        <v>128</v>
      </c>
    </row>
    <row r="149" spans="1:12" s="23" customFormat="1" ht="31.5">
      <c r="A149" s="37" t="s">
        <v>62</v>
      </c>
      <c r="B149" s="38" t="s">
        <v>536</v>
      </c>
      <c r="C149" s="39" t="s">
        <v>537</v>
      </c>
      <c r="D149" s="39" t="s">
        <v>538</v>
      </c>
      <c r="E149" s="40" t="s">
        <v>539</v>
      </c>
      <c r="F149" s="62"/>
      <c r="G149" s="68"/>
      <c r="H149" s="41" t="s">
        <v>128</v>
      </c>
      <c r="I149" s="41" t="s">
        <v>128</v>
      </c>
      <c r="J149" s="41" t="s">
        <v>128</v>
      </c>
      <c r="K149" s="41" t="s">
        <v>128</v>
      </c>
      <c r="L149" s="41" t="s">
        <v>128</v>
      </c>
    </row>
    <row r="150" spans="1:12" s="23" customFormat="1" ht="31.5">
      <c r="A150" s="37" t="s">
        <v>62</v>
      </c>
      <c r="B150" s="38" t="s">
        <v>540</v>
      </c>
      <c r="C150" s="39" t="s">
        <v>541</v>
      </c>
      <c r="D150" s="39" t="s">
        <v>542</v>
      </c>
      <c r="E150" s="40" t="s">
        <v>543</v>
      </c>
      <c r="F150" s="62"/>
      <c r="G150" s="68"/>
      <c r="H150" s="41" t="s">
        <v>128</v>
      </c>
      <c r="I150" s="41" t="s">
        <v>128</v>
      </c>
      <c r="J150" s="41" t="s">
        <v>128</v>
      </c>
      <c r="K150" s="41" t="s">
        <v>128</v>
      </c>
      <c r="L150" s="41" t="s">
        <v>128</v>
      </c>
    </row>
    <row r="151" spans="1:12" s="23" customFormat="1" ht="47.25">
      <c r="A151" s="37" t="s">
        <v>62</v>
      </c>
      <c r="B151" s="38" t="s">
        <v>544</v>
      </c>
      <c r="C151" s="39" t="s">
        <v>545</v>
      </c>
      <c r="D151" s="39" t="s">
        <v>546</v>
      </c>
      <c r="E151" s="40" t="s">
        <v>547</v>
      </c>
      <c r="F151" s="62"/>
      <c r="G151" s="68"/>
      <c r="H151" s="41" t="s">
        <v>128</v>
      </c>
      <c r="I151" s="41" t="s">
        <v>128</v>
      </c>
      <c r="J151" s="41" t="s">
        <v>128</v>
      </c>
      <c r="K151" s="41" t="s">
        <v>128</v>
      </c>
      <c r="L151" s="41" t="s">
        <v>128</v>
      </c>
    </row>
    <row r="152" spans="1:12" s="23" customFormat="1" ht="31.5">
      <c r="A152" s="37" t="s">
        <v>62</v>
      </c>
      <c r="B152" s="38" t="s">
        <v>548</v>
      </c>
      <c r="C152" s="39" t="s">
        <v>549</v>
      </c>
      <c r="D152" s="39" t="s">
        <v>282</v>
      </c>
      <c r="E152" s="40" t="s">
        <v>550</v>
      </c>
      <c r="F152" s="62"/>
      <c r="G152" s="68"/>
      <c r="H152" s="41" t="s">
        <v>128</v>
      </c>
      <c r="I152" s="41" t="s">
        <v>128</v>
      </c>
      <c r="J152" s="41" t="s">
        <v>128</v>
      </c>
      <c r="K152" s="41" t="s">
        <v>128</v>
      </c>
      <c r="L152" s="41" t="s">
        <v>128</v>
      </c>
    </row>
    <row r="153" spans="1:12" s="23" customFormat="1" ht="31.5">
      <c r="A153" s="37" t="s">
        <v>62</v>
      </c>
      <c r="B153" s="38" t="s">
        <v>551</v>
      </c>
      <c r="C153" s="39" t="s">
        <v>552</v>
      </c>
      <c r="D153" s="39" t="s">
        <v>267</v>
      </c>
      <c r="E153" s="40" t="s">
        <v>286</v>
      </c>
      <c r="F153" s="62"/>
      <c r="G153" s="68"/>
      <c r="H153" s="41" t="s">
        <v>128</v>
      </c>
      <c r="I153" s="41" t="s">
        <v>128</v>
      </c>
      <c r="J153" s="41" t="s">
        <v>128</v>
      </c>
      <c r="K153" s="41" t="s">
        <v>128</v>
      </c>
      <c r="L153" s="41" t="s">
        <v>128</v>
      </c>
    </row>
    <row r="154" spans="1:12" s="23" customFormat="1" ht="47.25">
      <c r="A154" s="37" t="s">
        <v>62</v>
      </c>
      <c r="B154" s="38" t="s">
        <v>553</v>
      </c>
      <c r="C154" s="39" t="s">
        <v>554</v>
      </c>
      <c r="D154" s="39" t="s">
        <v>555</v>
      </c>
      <c r="E154" s="40" t="s">
        <v>556</v>
      </c>
      <c r="F154" s="62"/>
      <c r="G154" s="68"/>
      <c r="H154" s="41" t="s">
        <v>128</v>
      </c>
      <c r="I154" s="41" t="s">
        <v>128</v>
      </c>
      <c r="J154" s="41" t="s">
        <v>128</v>
      </c>
      <c r="K154" s="41" t="s">
        <v>128</v>
      </c>
      <c r="L154" s="41" t="s">
        <v>128</v>
      </c>
    </row>
    <row r="155" spans="1:12" s="23" customFormat="1" ht="94.5">
      <c r="A155" s="37" t="s">
        <v>62</v>
      </c>
      <c r="B155" s="38" t="s">
        <v>521</v>
      </c>
      <c r="C155" s="39" t="s">
        <v>557</v>
      </c>
      <c r="D155" s="39" t="s">
        <v>558</v>
      </c>
      <c r="E155" s="40" t="s">
        <v>559</v>
      </c>
      <c r="F155" s="63"/>
      <c r="G155" s="69"/>
      <c r="H155" s="41" t="s">
        <v>128</v>
      </c>
      <c r="I155" s="41" t="s">
        <v>128</v>
      </c>
      <c r="J155" s="41" t="s">
        <v>128</v>
      </c>
      <c r="K155" s="41" t="s">
        <v>128</v>
      </c>
      <c r="L155" s="41" t="s">
        <v>128</v>
      </c>
    </row>
    <row r="156" spans="1:1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>
      <c r="A157" s="82" t="s">
        <v>560</v>
      </c>
      <c r="B157" s="83"/>
      <c r="C157" s="83"/>
      <c r="D157" s="22"/>
      <c r="E157" s="22"/>
      <c r="F157" s="22"/>
      <c r="G157" s="22"/>
      <c r="H157" s="22"/>
      <c r="I157" s="22"/>
      <c r="J157" s="22"/>
      <c r="K157" s="22"/>
      <c r="L157" s="22"/>
    </row>
    <row r="158" spans="1:12" s="21" customFormat="1" ht="31.5">
      <c r="A158" s="37" t="s">
        <v>64</v>
      </c>
      <c r="B158" s="38" t="s">
        <v>561</v>
      </c>
      <c r="C158" s="39" t="s">
        <v>562</v>
      </c>
      <c r="D158" s="39" t="s">
        <v>563</v>
      </c>
      <c r="E158" s="40" t="s">
        <v>564</v>
      </c>
      <c r="F158" s="64" t="s">
        <v>535</v>
      </c>
      <c r="G158" s="67" t="s">
        <v>84</v>
      </c>
      <c r="H158" s="41" t="s">
        <v>129</v>
      </c>
      <c r="I158" s="41" t="s">
        <v>128</v>
      </c>
      <c r="J158" s="41" t="s">
        <v>85</v>
      </c>
      <c r="K158" s="41" t="s">
        <v>85</v>
      </c>
      <c r="L158" s="41" t="s">
        <v>85</v>
      </c>
    </row>
    <row r="159" spans="1:12" s="21" customFormat="1" ht="31.5">
      <c r="A159" s="37" t="s">
        <v>64</v>
      </c>
      <c r="B159" s="38" t="s">
        <v>565</v>
      </c>
      <c r="C159" s="39" t="s">
        <v>566</v>
      </c>
      <c r="D159" s="39" t="s">
        <v>563</v>
      </c>
      <c r="E159" s="40" t="s">
        <v>567</v>
      </c>
      <c r="F159" s="62"/>
      <c r="G159" s="68"/>
      <c r="H159" s="41" t="s">
        <v>129</v>
      </c>
      <c r="I159" s="41" t="s">
        <v>128</v>
      </c>
      <c r="J159" s="41" t="s">
        <v>85</v>
      </c>
      <c r="K159" s="41" t="s">
        <v>85</v>
      </c>
      <c r="L159" s="41" t="s">
        <v>85</v>
      </c>
    </row>
    <row r="160" spans="1:12" s="23" customFormat="1" ht="31.5">
      <c r="A160" s="37" t="s">
        <v>64</v>
      </c>
      <c r="B160" s="38" t="s">
        <v>568</v>
      </c>
      <c r="C160" s="39" t="s">
        <v>569</v>
      </c>
      <c r="D160" s="39" t="s">
        <v>570</v>
      </c>
      <c r="E160" s="40" t="s">
        <v>571</v>
      </c>
      <c r="F160" s="62"/>
      <c r="G160" s="68"/>
      <c r="H160" s="41" t="s">
        <v>129</v>
      </c>
      <c r="I160" s="41" t="s">
        <v>128</v>
      </c>
      <c r="J160" s="41" t="s">
        <v>85</v>
      </c>
      <c r="K160" s="41" t="s">
        <v>85</v>
      </c>
      <c r="L160" s="41" t="s">
        <v>85</v>
      </c>
    </row>
    <row r="161" spans="1:12" s="23" customFormat="1" ht="63">
      <c r="A161" s="37" t="s">
        <v>64</v>
      </c>
      <c r="B161" s="38" t="s">
        <v>572</v>
      </c>
      <c r="C161" s="39" t="s">
        <v>573</v>
      </c>
      <c r="D161" s="39" t="s">
        <v>574</v>
      </c>
      <c r="E161" s="40" t="s">
        <v>575</v>
      </c>
      <c r="F161" s="62"/>
      <c r="G161" s="68"/>
      <c r="H161" s="41" t="s">
        <v>129</v>
      </c>
      <c r="I161" s="41" t="s">
        <v>128</v>
      </c>
      <c r="J161" s="41" t="s">
        <v>85</v>
      </c>
      <c r="K161" s="41" t="s">
        <v>85</v>
      </c>
      <c r="L161" s="41" t="s">
        <v>85</v>
      </c>
    </row>
    <row r="162" spans="1:12" s="23" customFormat="1" ht="31.5">
      <c r="A162" s="37" t="s">
        <v>64</v>
      </c>
      <c r="B162" s="38" t="s">
        <v>576</v>
      </c>
      <c r="C162" s="39" t="s">
        <v>577</v>
      </c>
      <c r="D162" s="39" t="s">
        <v>578</v>
      </c>
      <c r="E162" s="40" t="s">
        <v>579</v>
      </c>
      <c r="F162" s="62"/>
      <c r="G162" s="68"/>
      <c r="H162" s="41" t="s">
        <v>129</v>
      </c>
      <c r="I162" s="41" t="s">
        <v>128</v>
      </c>
      <c r="J162" s="41" t="s">
        <v>85</v>
      </c>
      <c r="K162" s="41" t="s">
        <v>85</v>
      </c>
      <c r="L162" s="41" t="s">
        <v>85</v>
      </c>
    </row>
    <row r="163" spans="1:12" s="23" customFormat="1" ht="94.5">
      <c r="A163" s="37" t="s">
        <v>64</v>
      </c>
      <c r="B163" s="38" t="s">
        <v>580</v>
      </c>
      <c r="C163" s="39" t="s">
        <v>581</v>
      </c>
      <c r="D163" s="39" t="s">
        <v>582</v>
      </c>
      <c r="E163" s="40" t="s">
        <v>583</v>
      </c>
      <c r="F163" s="62"/>
      <c r="G163" s="68"/>
      <c r="H163" s="41" t="s">
        <v>129</v>
      </c>
      <c r="I163" s="41" t="s">
        <v>128</v>
      </c>
      <c r="J163" s="41" t="s">
        <v>85</v>
      </c>
      <c r="K163" s="41" t="s">
        <v>85</v>
      </c>
      <c r="L163" s="41" t="s">
        <v>85</v>
      </c>
    </row>
    <row r="164" spans="1:12" s="21" customFormat="1" ht="63">
      <c r="A164" s="32" t="s">
        <v>64</v>
      </c>
      <c r="B164" s="33" t="s">
        <v>584</v>
      </c>
      <c r="C164" s="34" t="s">
        <v>585</v>
      </c>
      <c r="D164" s="34" t="s">
        <v>586</v>
      </c>
      <c r="E164" s="35" t="s">
        <v>587</v>
      </c>
      <c r="F164" s="61"/>
      <c r="G164" s="73"/>
      <c r="H164" s="36" t="s">
        <v>129</v>
      </c>
      <c r="I164" s="36" t="s">
        <v>128</v>
      </c>
      <c r="J164" s="36" t="s">
        <v>85</v>
      </c>
      <c r="K164" s="36" t="s">
        <v>85</v>
      </c>
      <c r="L164" s="36" t="s">
        <v>85</v>
      </c>
    </row>
    <row r="165" spans="1:12" s="21" customFormat="1" ht="63">
      <c r="A165" s="32" t="s">
        <v>64</v>
      </c>
      <c r="B165" s="33" t="s">
        <v>588</v>
      </c>
      <c r="C165" s="34" t="s">
        <v>589</v>
      </c>
      <c r="D165" s="34" t="s">
        <v>590</v>
      </c>
      <c r="E165" s="35" t="s">
        <v>591</v>
      </c>
      <c r="F165" s="66"/>
      <c r="G165" s="78"/>
      <c r="H165" s="36" t="s">
        <v>129</v>
      </c>
      <c r="I165" s="36" t="s">
        <v>128</v>
      </c>
      <c r="J165" s="36" t="s">
        <v>85</v>
      </c>
      <c r="K165" s="36" t="s">
        <v>85</v>
      </c>
      <c r="L165" s="36" t="s">
        <v>85</v>
      </c>
    </row>
    <row r="166" spans="1:1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>
      <c r="A167" s="84" t="s">
        <v>592</v>
      </c>
      <c r="B167" s="84"/>
      <c r="C167" s="84"/>
      <c r="D167" s="22"/>
      <c r="E167" s="22"/>
      <c r="F167" s="22"/>
      <c r="G167" s="22"/>
      <c r="H167" s="22"/>
      <c r="I167" s="22"/>
      <c r="J167" s="22"/>
      <c r="K167" s="22"/>
      <c r="L167" s="22"/>
    </row>
    <row r="168" spans="1:12" s="23" customFormat="1" ht="47.25">
      <c r="A168" s="37" t="s">
        <v>66</v>
      </c>
      <c r="B168" s="38" t="s">
        <v>593</v>
      </c>
      <c r="C168" s="39" t="s">
        <v>594</v>
      </c>
      <c r="D168" s="39" t="s">
        <v>595</v>
      </c>
      <c r="E168" s="40" t="s">
        <v>596</v>
      </c>
      <c r="F168" s="64" t="s">
        <v>443</v>
      </c>
      <c r="G168" s="67" t="s">
        <v>91</v>
      </c>
      <c r="H168" s="41" t="s">
        <v>129</v>
      </c>
      <c r="I168" s="41" t="s">
        <v>85</v>
      </c>
      <c r="J168" s="41" t="s">
        <v>85</v>
      </c>
      <c r="K168" s="41" t="s">
        <v>85</v>
      </c>
      <c r="L168" s="41" t="s">
        <v>85</v>
      </c>
    </row>
    <row r="169" spans="1:12" s="23" customFormat="1" ht="31.5">
      <c r="A169" s="37" t="s">
        <v>66</v>
      </c>
      <c r="B169" s="38" t="s">
        <v>597</v>
      </c>
      <c r="C169" s="39" t="s">
        <v>598</v>
      </c>
      <c r="D169" s="39" t="s">
        <v>599</v>
      </c>
      <c r="E169" s="40" t="s">
        <v>600</v>
      </c>
      <c r="F169" s="62"/>
      <c r="G169" s="68"/>
      <c r="H169" s="41" t="s">
        <v>129</v>
      </c>
      <c r="I169" s="41" t="s">
        <v>85</v>
      </c>
      <c r="J169" s="41" t="s">
        <v>85</v>
      </c>
      <c r="K169" s="41" t="s">
        <v>85</v>
      </c>
      <c r="L169" s="41" t="s">
        <v>85</v>
      </c>
    </row>
    <row r="170" spans="1:12" s="23" customFormat="1" ht="94.5">
      <c r="A170" s="37" t="s">
        <v>66</v>
      </c>
      <c r="B170" s="38" t="s">
        <v>601</v>
      </c>
      <c r="C170" s="39" t="s">
        <v>602</v>
      </c>
      <c r="D170" s="39" t="s">
        <v>603</v>
      </c>
      <c r="E170" s="40" t="s">
        <v>604</v>
      </c>
      <c r="F170" s="63"/>
      <c r="G170" s="69"/>
      <c r="H170" s="41" t="s">
        <v>129</v>
      </c>
      <c r="I170" s="41" t="s">
        <v>85</v>
      </c>
      <c r="J170" s="41" t="s">
        <v>85</v>
      </c>
      <c r="K170" s="41" t="s">
        <v>85</v>
      </c>
      <c r="L170" s="41" t="s">
        <v>85</v>
      </c>
    </row>
    <row r="171" spans="1:1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>
      <c r="A172" s="82" t="s">
        <v>605</v>
      </c>
      <c r="B172" s="83"/>
      <c r="C172" s="83"/>
      <c r="D172" s="85"/>
      <c r="E172" s="22"/>
      <c r="F172" s="22"/>
      <c r="G172" s="22"/>
      <c r="H172" s="22"/>
      <c r="I172" s="22"/>
      <c r="J172" s="22"/>
      <c r="K172" s="22"/>
      <c r="L172" s="22"/>
    </row>
    <row r="173" spans="1:12" s="24" customFormat="1" ht="31.5">
      <c r="A173" s="26" t="s">
        <v>606</v>
      </c>
      <c r="B173" s="27" t="s">
        <v>607</v>
      </c>
      <c r="C173" s="28" t="s">
        <v>608</v>
      </c>
      <c r="D173" s="28" t="s">
        <v>609</v>
      </c>
      <c r="E173" s="29" t="s">
        <v>610</v>
      </c>
      <c r="F173" s="56" t="s">
        <v>611</v>
      </c>
      <c r="G173" s="70" t="s">
        <v>84</v>
      </c>
      <c r="H173" s="31" t="s">
        <v>85</v>
      </c>
      <c r="I173" s="31" t="s">
        <v>85</v>
      </c>
      <c r="J173" s="31" t="s">
        <v>85</v>
      </c>
      <c r="K173" s="31" t="s">
        <v>85</v>
      </c>
      <c r="L173" s="31" t="s">
        <v>85</v>
      </c>
    </row>
    <row r="174" spans="1:12" s="24" customFormat="1">
      <c r="A174" s="26" t="s">
        <v>606</v>
      </c>
      <c r="B174" s="27" t="s">
        <v>612</v>
      </c>
      <c r="C174" s="28" t="s">
        <v>613</v>
      </c>
      <c r="D174" s="28" t="s">
        <v>614</v>
      </c>
      <c r="E174" s="29" t="s">
        <v>190</v>
      </c>
      <c r="F174" s="57"/>
      <c r="G174" s="71"/>
      <c r="H174" s="31" t="s">
        <v>85</v>
      </c>
      <c r="I174" s="31" t="s">
        <v>85</v>
      </c>
      <c r="J174" s="31" t="s">
        <v>85</v>
      </c>
      <c r="K174" s="31" t="s">
        <v>85</v>
      </c>
      <c r="L174" s="31" t="s">
        <v>85</v>
      </c>
    </row>
    <row r="175" spans="1:12" s="24" customFormat="1" ht="63">
      <c r="A175" s="26" t="s">
        <v>606</v>
      </c>
      <c r="B175" s="27" t="s">
        <v>615</v>
      </c>
      <c r="C175" s="28" t="s">
        <v>616</v>
      </c>
      <c r="D175" s="28" t="s">
        <v>617</v>
      </c>
      <c r="E175" s="29" t="s">
        <v>618</v>
      </c>
      <c r="F175" s="56" t="s">
        <v>83</v>
      </c>
      <c r="G175" s="71"/>
      <c r="H175" s="31" t="s">
        <v>85</v>
      </c>
      <c r="I175" s="31" t="s">
        <v>85</v>
      </c>
      <c r="J175" s="31" t="s">
        <v>85</v>
      </c>
      <c r="K175" s="31" t="s">
        <v>85</v>
      </c>
      <c r="L175" s="31" t="s">
        <v>85</v>
      </c>
    </row>
    <row r="176" spans="1:12" s="24" customFormat="1" ht="31.5">
      <c r="A176" s="26" t="s">
        <v>606</v>
      </c>
      <c r="B176" s="27" t="s">
        <v>619</v>
      </c>
      <c r="C176" s="28" t="s">
        <v>620</v>
      </c>
      <c r="D176" s="28" t="s">
        <v>621</v>
      </c>
      <c r="E176" s="29" t="s">
        <v>622</v>
      </c>
      <c r="F176" s="57"/>
      <c r="G176" s="71"/>
      <c r="H176" s="31" t="s">
        <v>85</v>
      </c>
      <c r="I176" s="31" t="s">
        <v>128</v>
      </c>
      <c r="J176" s="31" t="s">
        <v>128</v>
      </c>
      <c r="K176" s="31" t="s">
        <v>128</v>
      </c>
      <c r="L176" s="31" t="s">
        <v>128</v>
      </c>
    </row>
    <row r="177" spans="1:12" s="24" customFormat="1" ht="78.75">
      <c r="A177" s="26" t="s">
        <v>606</v>
      </c>
      <c r="B177" s="27" t="s">
        <v>623</v>
      </c>
      <c r="C177" s="28" t="s">
        <v>624</v>
      </c>
      <c r="D177" s="28" t="s">
        <v>625</v>
      </c>
      <c r="E177" s="29" t="s">
        <v>626</v>
      </c>
      <c r="F177" s="42" t="s">
        <v>627</v>
      </c>
      <c r="G177" s="72"/>
      <c r="H177" s="31" t="s">
        <v>85</v>
      </c>
      <c r="I177" s="31" t="s">
        <v>85</v>
      </c>
      <c r="J177" s="31" t="s">
        <v>85</v>
      </c>
      <c r="K177" s="31" t="s">
        <v>85</v>
      </c>
      <c r="L177" s="31" t="s">
        <v>85</v>
      </c>
    </row>
    <row r="178" spans="1:1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>
      <c r="A179" s="79" t="s">
        <v>628</v>
      </c>
      <c r="B179" s="80"/>
      <c r="C179" s="80"/>
      <c r="D179" s="80"/>
      <c r="E179" s="80"/>
      <c r="F179" s="80"/>
      <c r="G179" s="81"/>
      <c r="H179" s="9">
        <f>COUNTIF(H$7:H$178,"Yes")+COUNTIF(H$7:H$178,"Optional")</f>
        <v>91</v>
      </c>
      <c r="I179" s="9">
        <f>COUNTIF(I$7:I$178,"Yes")+COUNTIF(I$7:I$178,"Optional")</f>
        <v>142</v>
      </c>
      <c r="J179" s="9">
        <f>COUNTIF(J$7:J$178,"Yes")+COUNTIF(J$7:J$178,"Optional")</f>
        <v>117</v>
      </c>
      <c r="K179" s="9">
        <f>COUNTIF(K$7:K$178,"Yes")+COUNTIF(K$7:K$178,"Optional")</f>
        <v>117</v>
      </c>
      <c r="L179" s="9">
        <f>COUNTIF(L$7:L$178,"Yes")+COUNTIF(L$7:L$178,"Optional")</f>
        <v>117</v>
      </c>
    </row>
    <row r="180" spans="1:12">
      <c r="A180" s="79" t="s">
        <v>629</v>
      </c>
      <c r="B180" s="80"/>
      <c r="C180" s="80"/>
      <c r="D180" s="80"/>
      <c r="E180" s="80"/>
      <c r="F180" s="80"/>
      <c r="G180" s="81"/>
      <c r="H180" s="9">
        <f>COUNTIF(H$7:H$178,"Yes")</f>
        <v>70</v>
      </c>
      <c r="I180" s="9">
        <f>COUNTIF(I$7:I$178,"Yes")</f>
        <v>73</v>
      </c>
      <c r="J180" s="9">
        <f>COUNTIF(J$7:J$178,"Yes")</f>
        <v>103</v>
      </c>
      <c r="K180" s="9">
        <f>COUNTIF(K$7:K$178,"Yes")</f>
        <v>94</v>
      </c>
      <c r="L180" s="9">
        <f>COUNTIF(L$7:L$178,"Yes")</f>
        <v>94</v>
      </c>
    </row>
  </sheetData>
  <mergeCells count="56">
    <mergeCell ref="A179:G179"/>
    <mergeCell ref="A180:G180"/>
    <mergeCell ref="A14:C14"/>
    <mergeCell ref="A147:C147"/>
    <mergeCell ref="A167:C167"/>
    <mergeCell ref="A172:D172"/>
    <mergeCell ref="A157:C157"/>
    <mergeCell ref="A141:C141"/>
    <mergeCell ref="A67:C67"/>
    <mergeCell ref="A117:C117"/>
    <mergeCell ref="A136:C136"/>
    <mergeCell ref="A82:D82"/>
    <mergeCell ref="A125:C125"/>
    <mergeCell ref="A97:C97"/>
    <mergeCell ref="A35:C35"/>
    <mergeCell ref="A60:C60"/>
    <mergeCell ref="G173:G177"/>
    <mergeCell ref="G8:G12"/>
    <mergeCell ref="G36:G58"/>
    <mergeCell ref="G61:G65"/>
    <mergeCell ref="G68:G80"/>
    <mergeCell ref="G83:G95"/>
    <mergeCell ref="G98:G115"/>
    <mergeCell ref="G15:G33"/>
    <mergeCell ref="G118:G123"/>
    <mergeCell ref="G126:G134"/>
    <mergeCell ref="G137:G139"/>
    <mergeCell ref="G142:G145"/>
    <mergeCell ref="G158:G165"/>
    <mergeCell ref="G168:G170"/>
    <mergeCell ref="F42:F45"/>
    <mergeCell ref="F46:F50"/>
    <mergeCell ref="F51:F54"/>
    <mergeCell ref="F8:F12"/>
    <mergeCell ref="G148:G155"/>
    <mergeCell ref="F118:F123"/>
    <mergeCell ref="F126:F131"/>
    <mergeCell ref="F132:F133"/>
    <mergeCell ref="F137:F139"/>
    <mergeCell ref="F142:F145"/>
    <mergeCell ref="F3:F5"/>
    <mergeCell ref="G4:G5"/>
    <mergeCell ref="F175:F176"/>
    <mergeCell ref="F15:F25"/>
    <mergeCell ref="F27:F29"/>
    <mergeCell ref="F68:F80"/>
    <mergeCell ref="F148:F155"/>
    <mergeCell ref="F98:F115"/>
    <mergeCell ref="F30:F33"/>
    <mergeCell ref="F158:F165"/>
    <mergeCell ref="F168:F170"/>
    <mergeCell ref="F173:F174"/>
    <mergeCell ref="F83:F95"/>
    <mergeCell ref="F55:F58"/>
    <mergeCell ref="F61:F65"/>
    <mergeCell ref="F36:F41"/>
  </mergeCells>
  <dataValidations count="1">
    <dataValidation type="list" sqref="H15:L33 H173:L177 H168:L170 H158:L165 H148:L155 H137:L139 H126:L134 H98:L115 H61:L65 H118:L123 H36:L58 H83:L95 H142:L145 H68:L80 H8:L12 H3:L5" xr:uid="{00000000-0002-0000-0100-000000000000}">
      <formula1>"Yes,Optional,No"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4858b5-f020-483a-b7ef-71ded6e81767}" enabled="0" method="" siteId="{8c4858b5-f020-483a-b7ef-71ded6e817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POPERE VARUN</cp:lastModifiedBy>
  <cp:revision/>
  <dcterms:created xsi:type="dcterms:W3CDTF">2026-10-08T10:28:06Z</dcterms:created>
  <dcterms:modified xsi:type="dcterms:W3CDTF">2026-10-08T10:28:06Z</dcterms:modified>
  <cp:category/>
  <cp:contentStatus/>
</cp:coreProperties>
</file>